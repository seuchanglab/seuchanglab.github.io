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ychang/Desktop/常志勇/其他资料/东南大学/项目/2026江苏省“双创团队”/"/>
    </mc:Choice>
  </mc:AlternateContent>
  <xr:revisionPtr revIDLastSave="0" documentId="13_ncr:1_{A5369AD9-8F7E-B742-9A2C-6DC83ABCD9DF}" xr6:coauthVersionLast="47" xr6:coauthVersionMax="47" xr10:uidLastSave="{00000000-0000-0000-0000-000000000000}"/>
  <bookViews>
    <workbookView xWindow="0" yWindow="0" windowWidth="28800" windowHeight="18000" activeTab="1" xr2:uid="{4740555A-7CCE-AB44-8481-7B18582B7492}"/>
  </bookViews>
  <sheets>
    <sheet name="SCI" sheetId="2" r:id="rId1"/>
    <sheet name="发明专利" sheetId="1" r:id="rId2"/>
  </sheets>
  <definedNames>
    <definedName name="_xlnm._FilterDatabase" localSheetId="0" hidden="1">SCI!$A$1:$O$84</definedName>
    <definedName name="_xlnm._FilterDatabase" localSheetId="1" hidden="1">发明专利!$B$1:$J$30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<sst xmlns="http://schemas.openxmlformats.org/spreadsheetml/2006/main" count="839" uniqueCount="684">
  <si>
    <t>序号</t>
    <phoneticPr fontId="3" type="noConversion"/>
  </si>
  <si>
    <t>专利名称</t>
  </si>
  <si>
    <t>专利号</t>
  </si>
  <si>
    <t>申请日</t>
  </si>
  <si>
    <t>公开日</t>
  </si>
  <si>
    <t>授权日</t>
  </si>
  <si>
    <t>授权公开号</t>
  </si>
  <si>
    <t>失效日</t>
  </si>
  <si>
    <t>IPC分类号</t>
    <phoneticPr fontId="3" type="noConversion"/>
  </si>
  <si>
    <t>发明人</t>
  </si>
  <si>
    <t>下次缴费日期</t>
    <phoneticPr fontId="3" type="noConversion"/>
  </si>
  <si>
    <t>下次缴费金额</t>
    <phoneticPr fontId="3" type="noConversion"/>
  </si>
  <si>
    <t>一种随钻原位南极冰层痕量气体富集的监测装置和方法</t>
    <phoneticPr fontId="3" type="noConversion"/>
  </si>
  <si>
    <t>ZL202411457168.5</t>
    <phoneticPr fontId="3" type="noConversion"/>
  </si>
  <si>
    <t>2024.10.18</t>
    <phoneticPr fontId="3" type="noConversion"/>
  </si>
  <si>
    <t>2025.01.14</t>
    <phoneticPr fontId="3" type="noConversion"/>
  </si>
  <si>
    <t>2025.11.04</t>
    <phoneticPr fontId="3" type="noConversion"/>
  </si>
  <si>
    <t>CN119309872B</t>
    <phoneticPr fontId="3" type="noConversion"/>
  </si>
  <si>
    <t>周</t>
    <phoneticPr fontId="3" type="noConversion"/>
  </si>
  <si>
    <t>常志勇, 陈子豪, 孙友宏, 靳宏杨, 杨逍, 党敬民, 李冰, 范晓鹏, 张楠, 翁小辉, 孔铖, 栾祥宇</t>
    <phoneticPr fontId="3" type="noConversion"/>
  </si>
  <si>
    <t>一种随钻原位土壤有机污染检测装置和检测方法</t>
    <phoneticPr fontId="3" type="noConversion"/>
  </si>
  <si>
    <t>ZL202310232183.9</t>
    <phoneticPr fontId="3" type="noConversion"/>
  </si>
  <si>
    <t>2023.03.13</t>
    <phoneticPr fontId="3" type="noConversion"/>
  </si>
  <si>
    <t>2023.06.09</t>
    <phoneticPr fontId="3" type="noConversion"/>
  </si>
  <si>
    <t>2025.09.19</t>
    <phoneticPr fontId="3" type="noConversion"/>
  </si>
  <si>
    <t>CN116242989B</t>
    <phoneticPr fontId="3" type="noConversion"/>
  </si>
  <si>
    <t>毕</t>
    <phoneticPr fontId="3" type="noConversion"/>
  </si>
  <si>
    <t>常志勇, 孙友宏, 靳宏杨, 孔铖, 姚宗伟, 翁小辉, 徐琳, 邓孙华, 李胜利</t>
    <phoneticPr fontId="3" type="noConversion"/>
  </si>
  <si>
    <t>吉林大学;吉林大学威海仿生研究院</t>
    <phoneticPr fontId="3" type="noConversion"/>
  </si>
  <si>
    <t>2023.02.08</t>
    <phoneticPr fontId="3" type="noConversion"/>
  </si>
  <si>
    <t>一种水下防污电子鼻腔室</t>
    <phoneticPr fontId="3" type="noConversion"/>
  </si>
  <si>
    <t>ZL201911124262.8</t>
    <phoneticPr fontId="3" type="noConversion"/>
  </si>
  <si>
    <t>2019.11.15</t>
    <phoneticPr fontId="3" type="noConversion"/>
  </si>
  <si>
    <t>2020.04.07</t>
    <phoneticPr fontId="3" type="noConversion"/>
  </si>
  <si>
    <t>2024.07.23</t>
    <phoneticPr fontId="3" type="noConversion"/>
  </si>
  <si>
    <t>CN110967460B</t>
    <phoneticPr fontId="3" type="noConversion"/>
  </si>
  <si>
    <r>
      <rPr>
        <sz val="10.5"/>
        <rFont val="SimSun"/>
        <family val="3"/>
        <charset val="134"/>
      </rPr>
      <t>常志勇, 闫毅帆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寇淑清, 翁小辉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任丽丽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黄卉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梁平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李因武, 李家亿</t>
    </r>
    <phoneticPr fontId="3" type="noConversion"/>
  </si>
  <si>
    <t>一种基于多气敏传感系统的油矿品质原位快速检测装置</t>
    <phoneticPr fontId="3" type="noConversion"/>
  </si>
  <si>
    <t>ZL202310082228.9</t>
    <phoneticPr fontId="3" type="noConversion"/>
  </si>
  <si>
    <t>2023.05.09</t>
    <phoneticPr fontId="3" type="noConversion"/>
  </si>
  <si>
    <t>2024.06.04</t>
    <phoneticPr fontId="3" type="noConversion"/>
  </si>
  <si>
    <t>CN116087426B</t>
    <phoneticPr fontId="3" type="noConversion"/>
  </si>
  <si>
    <t>常志勇, 靳宏杨, 孙友宏, 徐丛浩, 姚宗伟, 刘宝昌, 郭威, 高科, 郭丽, 翁小辉, 李默</t>
    <phoneticPr fontId="3" type="noConversion"/>
  </si>
  <si>
    <t>2023.04.25</t>
    <phoneticPr fontId="3" type="noConversion"/>
  </si>
  <si>
    <t>CN108061787B</t>
    <phoneticPr fontId="3" type="noConversion"/>
  </si>
  <si>
    <t>一种油田采出水水质重金属检测装置</t>
    <phoneticPr fontId="3" type="noConversion"/>
  </si>
  <si>
    <t>ZL201810052007.6</t>
    <phoneticPr fontId="3" type="noConversion"/>
  </si>
  <si>
    <t>2018.01.19</t>
    <phoneticPr fontId="3" type="noConversion"/>
  </si>
  <si>
    <t>2018.05.22</t>
    <phoneticPr fontId="3" type="noConversion"/>
  </si>
  <si>
    <t>2024.01.30</t>
    <phoneticPr fontId="3" type="noConversion"/>
  </si>
  <si>
    <t>常志勇, 孙友宏, 张宇晨, 刘宝昌, 邓孙华, 高科, 贾瑞, 翁小辉, 任丽丽, 谢军, 陈东辉, 马云海</t>
    <phoneticPr fontId="3" type="noConversion"/>
  </si>
  <si>
    <t>用于油田采出水重金属检测的仿生吸附采样部件</t>
    <phoneticPr fontId="3" type="noConversion"/>
  </si>
  <si>
    <t>ZL201810052008.0</t>
    <phoneticPr fontId="3" type="noConversion"/>
  </si>
  <si>
    <t>2018.06.08</t>
  </si>
  <si>
    <t>2024.01.16</t>
    <phoneticPr fontId="3" type="noConversion"/>
  </si>
  <si>
    <t>常志勇, 孙友宏, 张宇晨, 郭威, 邓孙华, 高科, 贾瑞, 翁小辉, 任丽丽, 谢军, 陈东辉, 马云海</t>
    <phoneticPr fontId="3" type="noConversion"/>
  </si>
  <si>
    <t>仿生鱼嗅囊结构的录井脱气器</t>
    <phoneticPr fontId="3" type="noConversion"/>
  </si>
  <si>
    <t>ZL201710013739.X</t>
    <phoneticPr fontId="3" type="noConversion"/>
  </si>
  <si>
    <t>2017.01.09</t>
    <phoneticPr fontId="3" type="noConversion"/>
  </si>
  <si>
    <t>2017.05.24</t>
    <phoneticPr fontId="3" type="noConversion"/>
  </si>
  <si>
    <t>2024.01.09</t>
    <phoneticPr fontId="3" type="noConversion"/>
  </si>
  <si>
    <t>CN106703726B</t>
    <phoneticPr fontId="3" type="noConversion"/>
  </si>
  <si>
    <t>常志勇, 孙友宏, 李金光, 佟金, 高科, 刘宝昌, 郭威, 贾瑞, 邓孙华, 陈东辉, 马云海</t>
    <phoneticPr fontId="3" type="noConversion"/>
  </si>
  <si>
    <t>一种仿猪鼻腔鼻甲骨及鲨鱼表皮结构的仿生电子鼻腔室</t>
    <phoneticPr fontId="3" type="noConversion"/>
  </si>
  <si>
    <t>ZL201710315936.7</t>
    <phoneticPr fontId="3" type="noConversion"/>
  </si>
  <si>
    <t>2017.05.08</t>
    <phoneticPr fontId="3" type="noConversion"/>
  </si>
  <si>
    <t>2018.02.02</t>
    <phoneticPr fontId="3" type="noConversion"/>
  </si>
  <si>
    <t>2023.11.10</t>
    <phoneticPr fontId="3" type="noConversion"/>
  </si>
  <si>
    <t>CN106950254B</t>
    <phoneticPr fontId="3" type="noConversion"/>
  </si>
  <si>
    <t>常志勇, 佟金, 蒋啸虎, 李金光, 陈东辉, 马云海, 孙霁宇</t>
    <phoneticPr fontId="3" type="noConversion"/>
  </si>
  <si>
    <t>滞纳金200</t>
    <phoneticPr fontId="3" type="noConversion"/>
  </si>
  <si>
    <t>一种具有仿生导流结构与可变位传感器的气体探测器</t>
    <phoneticPr fontId="3" type="noConversion"/>
  </si>
  <si>
    <t>ZL201810314013.4</t>
    <phoneticPr fontId="3" type="noConversion"/>
  </si>
  <si>
    <t>2018.04.10</t>
    <phoneticPr fontId="3" type="noConversion"/>
  </si>
  <si>
    <t>2018.07.27</t>
    <phoneticPr fontId="3" type="noConversion"/>
  </si>
  <si>
    <t>2023.10.17</t>
    <phoneticPr fontId="3" type="noConversion"/>
  </si>
  <si>
    <t>CN108333315B</t>
    <phoneticPr fontId="3" type="noConversion"/>
  </si>
  <si>
    <t>常志勇, 华晓松, 张宇晨, 李秀慧, 翁小辉, 杨润, 吕建华, 谢军, 任丽丽, 郭丽, 李俊宏, 陈东辉, 卢国龙, 刘伟</t>
    <phoneticPr fontId="3" type="noConversion"/>
  </si>
  <si>
    <t xml:space="preserve">	
2027-05-10</t>
    <phoneticPr fontId="3" type="noConversion"/>
  </si>
  <si>
    <t>不要</t>
    <phoneticPr fontId="3" type="noConversion"/>
  </si>
  <si>
    <t>一种集成仿生一体式半透膜脱气器</t>
    <phoneticPr fontId="3" type="noConversion"/>
  </si>
  <si>
    <t>ZL201611074677.5</t>
    <phoneticPr fontId="3" type="noConversion"/>
  </si>
  <si>
    <t>2016.11.30</t>
    <phoneticPr fontId="3" type="noConversion"/>
  </si>
  <si>
    <t>2017.02.15</t>
    <phoneticPr fontId="3" type="noConversion"/>
  </si>
  <si>
    <t>2023.05.26</t>
    <phoneticPr fontId="3" type="noConversion"/>
  </si>
  <si>
    <t>CN106401582B</t>
    <phoneticPr fontId="3" type="noConversion"/>
  </si>
  <si>
    <t>常志勇, 孙友宏, 吕建华, 翁小辉, 高科, 刘宝昌, 郭威, 贾瑞, 邓孙华, 陈东辉, 马云海</t>
    <phoneticPr fontId="3" type="noConversion"/>
  </si>
  <si>
    <t xml:space="preserve">	
2027-12-30</t>
    <phoneticPr fontId="3" type="noConversion"/>
  </si>
  <si>
    <t>一种仿新月形沙丘的气体富集装置</t>
    <phoneticPr fontId="3" type="noConversion"/>
  </si>
  <si>
    <t>ZL201811363120.2</t>
    <phoneticPr fontId="3" type="noConversion"/>
  </si>
  <si>
    <t>2018.11.15</t>
    <phoneticPr fontId="3" type="noConversion"/>
  </si>
  <si>
    <t>2019.01.29</t>
    <phoneticPr fontId="3" type="noConversion"/>
  </si>
  <si>
    <t>CN109283040B</t>
    <phoneticPr fontId="3" type="noConversion"/>
  </si>
  <si>
    <t>常志勇, 龙刚, 张宇晨, 陈东辉, 翁小辉, 郭丽, 黄汇, 任丽丽, 卢国龙, 马云海, 孙霁宇, 王海燕</t>
    <phoneticPr fontId="3" type="noConversion"/>
  </si>
  <si>
    <t>一种利用电子鼻对油页岩裂解过程中成熟度的识别方法</t>
    <phoneticPr fontId="3" type="noConversion"/>
  </si>
  <si>
    <t>ZL202110811545.0</t>
    <phoneticPr fontId="3" type="noConversion"/>
  </si>
  <si>
    <t>2021.07.19</t>
    <phoneticPr fontId="3" type="noConversion"/>
  </si>
  <si>
    <t>2021.11.19</t>
    <phoneticPr fontId="3" type="noConversion"/>
  </si>
  <si>
    <t>2022.05.27</t>
    <phoneticPr fontId="3" type="noConversion"/>
  </si>
  <si>
    <t>CN113671116B</t>
    <phoneticPr fontId="3" type="noConversion"/>
  </si>
  <si>
    <t>常志勇, 栾祥宇, 孔铖, 靳宏杨, 赵容生, 任丽丽, 翁小辉, 郭威, 孙友宏</t>
    <phoneticPr fontId="3" type="noConversion"/>
  </si>
  <si>
    <t>一种仿生烃类气体吸附部件</t>
    <phoneticPr fontId="3" type="noConversion"/>
  </si>
  <si>
    <t>ZL201610883737.1</t>
    <phoneticPr fontId="3" type="noConversion"/>
  </si>
  <si>
    <t>2016.10.11</t>
    <phoneticPr fontId="3" type="noConversion"/>
  </si>
  <si>
    <t>2016.12.14</t>
    <phoneticPr fontId="3" type="noConversion"/>
  </si>
  <si>
    <t>2018.10.02</t>
    <phoneticPr fontId="3" type="noConversion"/>
  </si>
  <si>
    <t>CN106215622B</t>
    <phoneticPr fontId="3" type="noConversion"/>
  </si>
  <si>
    <t>常志勇, 孙友宏, 田大越, 郭威, 刘宝昌, 高科, 陈东辉, 马云海</t>
    <phoneticPr fontId="3" type="noConversion"/>
  </si>
  <si>
    <t xml:space="preserve">	
2027-11-11</t>
    <phoneticPr fontId="3" type="noConversion"/>
  </si>
  <si>
    <t>仿生井下烃类气体随钻检测装置</t>
    <phoneticPr fontId="3" type="noConversion"/>
  </si>
  <si>
    <t>ZL201510906090.5</t>
    <phoneticPr fontId="3" type="noConversion"/>
  </si>
  <si>
    <t>2015.12.10</t>
    <phoneticPr fontId="3" type="noConversion"/>
  </si>
  <si>
    <t>2016.05.04</t>
    <phoneticPr fontId="3" type="noConversion"/>
  </si>
  <si>
    <t>CN105545300B</t>
    <phoneticPr fontId="3" type="noConversion"/>
  </si>
  <si>
    <t>常志勇, 孙友宏, 雷程, 郭威, 刘宝昌, 高科, 贾瑞, 马云海</t>
    <phoneticPr fontId="3" type="noConversion"/>
  </si>
  <si>
    <t>一种仿生气体吸附采样装置</t>
    <phoneticPr fontId="3" type="noConversion"/>
  </si>
  <si>
    <t>ZL201610871581.5</t>
    <phoneticPr fontId="3" type="noConversion"/>
  </si>
  <si>
    <t>2016.10.08</t>
    <phoneticPr fontId="3" type="noConversion"/>
  </si>
  <si>
    <t>2018.07.20</t>
    <phoneticPr fontId="3" type="noConversion"/>
  </si>
  <si>
    <t>CN106168547A</t>
    <phoneticPr fontId="3" type="noConversion"/>
  </si>
  <si>
    <t>常志勇, 刘伟, 吕建华, 陈东辉, 田大越, 佟金, 马云海, 孙霁宇</t>
    <phoneticPr fontId="3" type="noConversion"/>
  </si>
  <si>
    <t>一种录井用仿生减污油气分离装置</t>
    <phoneticPr fontId="3" type="noConversion"/>
  </si>
  <si>
    <t>ZL201611074676.0</t>
    <phoneticPr fontId="3" type="noConversion"/>
  </si>
  <si>
    <t>2017.03.08</t>
    <phoneticPr fontId="3" type="noConversion"/>
  </si>
  <si>
    <t>2018.07.17</t>
    <phoneticPr fontId="3" type="noConversion"/>
  </si>
  <si>
    <t>CN106474774B</t>
    <phoneticPr fontId="3" type="noConversion"/>
  </si>
  <si>
    <t>常志勇, 孙友宏, 吕建华, 翁小辉, 刘宝昌, 高科, 邓孙华, 贾瑞, 郭威, 陈东辉, 马云海</t>
    <phoneticPr fontId="3" type="noConversion"/>
  </si>
  <si>
    <t>一种基于电子鼻的井下油气检测方法</t>
    <phoneticPr fontId="3" type="noConversion"/>
  </si>
  <si>
    <t>ZL201510080504.3</t>
    <phoneticPr fontId="3" type="noConversion"/>
  </si>
  <si>
    <t>2015.02.14</t>
    <phoneticPr fontId="3" type="noConversion"/>
  </si>
  <si>
    <t>2015.06.24</t>
    <phoneticPr fontId="3" type="noConversion"/>
  </si>
  <si>
    <t>2018.03.09</t>
    <phoneticPr fontId="3" type="noConversion"/>
  </si>
  <si>
    <t>CN104730122B</t>
    <phoneticPr fontId="3" type="noConversion"/>
  </si>
  <si>
    <r>
      <t>常志勇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孙友宏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杨逍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郭威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刘宝昌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高科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佟金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邓孙华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马云海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陈东辉</t>
    </r>
    <phoneticPr fontId="3" type="noConversion"/>
  </si>
  <si>
    <t>一种仿生钻井液电子舌间歇采样装置</t>
    <phoneticPr fontId="3" type="noConversion"/>
  </si>
  <si>
    <t>ZL201610068673.X</t>
    <phoneticPr fontId="3" type="noConversion"/>
  </si>
  <si>
    <t>2016.02.01</t>
    <phoneticPr fontId="3" type="noConversion"/>
  </si>
  <si>
    <t>2016.06.22</t>
    <phoneticPr fontId="3" type="noConversion"/>
  </si>
  <si>
    <t>2018.02.06</t>
    <phoneticPr fontId="3" type="noConversion"/>
  </si>
  <si>
    <t>CN105699130B</t>
    <phoneticPr fontId="3" type="noConversion"/>
  </si>
  <si>
    <t>常志勇, 孙友宏, 刘伟, 陈东辉, 郭威, 刘宝昌, 高科, 马云海</t>
    <phoneticPr fontId="3" type="noConversion"/>
  </si>
  <si>
    <t>2015.11.18</t>
    <phoneticPr fontId="3" type="noConversion"/>
  </si>
  <si>
    <t>基于豆天蛾幼虫身体结构的减振装置</t>
    <phoneticPr fontId="3" type="noConversion"/>
  </si>
  <si>
    <t>ZL201510631082.4</t>
    <phoneticPr fontId="3" type="noConversion"/>
  </si>
  <si>
    <t>2015.09.29</t>
    <phoneticPr fontId="3" type="noConversion"/>
  </si>
  <si>
    <t>2015.12.23</t>
    <phoneticPr fontId="3" type="noConversion"/>
  </si>
  <si>
    <t>2017.04.26</t>
    <phoneticPr fontId="3" type="noConversion"/>
  </si>
  <si>
    <t>CN105179583B</t>
    <phoneticPr fontId="3" type="noConversion"/>
  </si>
  <si>
    <t>常志勇, 孙友宏, 刘伟, 陈东辉, 刘宝昌, 郭威, 高科, 贾瑞</t>
    <phoneticPr fontId="3" type="noConversion"/>
  </si>
  <si>
    <t>一种气源搜索定位装置</t>
    <phoneticPr fontId="3" type="noConversion"/>
  </si>
  <si>
    <t>ZL201510454032.3</t>
    <phoneticPr fontId="3" type="noConversion"/>
  </si>
  <si>
    <t>2015.07.29</t>
    <phoneticPr fontId="3" type="noConversion"/>
  </si>
  <si>
    <t>2017.01.25</t>
    <phoneticPr fontId="3" type="noConversion"/>
  </si>
  <si>
    <t>CN105067766B</t>
    <phoneticPr fontId="3" type="noConversion"/>
  </si>
  <si>
    <t>常志勇, 齐红岩, 田大越, 佟金, 马云海, 陈东辉, 慕海锋, 翁小辉</t>
    <phoneticPr fontId="3" type="noConversion"/>
  </si>
  <si>
    <t>一种仿鼢鼠鼻腔电子鼻</t>
    <phoneticPr fontId="3" type="noConversion"/>
  </si>
  <si>
    <t>ZL201410651912.5</t>
    <phoneticPr fontId="3" type="noConversion"/>
  </si>
  <si>
    <t>2014.11.17</t>
    <phoneticPr fontId="3" type="noConversion"/>
  </si>
  <si>
    <t>2015.02.18</t>
    <phoneticPr fontId="3" type="noConversion"/>
  </si>
  <si>
    <t>CN104360023B</t>
    <phoneticPr fontId="3" type="noConversion"/>
  </si>
  <si>
    <t>常志勇, 慕海锋, 陈东辉, 佟金, 马云海, 孙霁宇, 郭丽丽, 李默, 周江</t>
    <phoneticPr fontId="3" type="noConversion"/>
  </si>
  <si>
    <t>一种用于气体传感器表面的仿生微结构</t>
    <phoneticPr fontId="3" type="noConversion"/>
  </si>
  <si>
    <t>ZL201510320368.0</t>
    <phoneticPr fontId="3" type="noConversion"/>
  </si>
  <si>
    <t>2015.06.11</t>
    <phoneticPr fontId="3" type="noConversion"/>
  </si>
  <si>
    <t>2015.09.23</t>
    <phoneticPr fontId="3" type="noConversion"/>
  </si>
  <si>
    <t>2016.09.14</t>
    <phoneticPr fontId="3" type="noConversion"/>
  </si>
  <si>
    <t>CN104931654B</t>
    <phoneticPr fontId="3" type="noConversion"/>
  </si>
  <si>
    <t>常志勇, 杨逍, 慕海锋, 佟金, 陈东辉, 张东光, 马云海, 孙霁宇, 周江</t>
    <phoneticPr fontId="3" type="noConversion"/>
  </si>
  <si>
    <t>一种仿鱼鼻腔的水合物随钻气测电子鼻</t>
    <phoneticPr fontId="3" type="noConversion"/>
  </si>
  <si>
    <t>ZL201510077937.3</t>
    <phoneticPr fontId="3" type="noConversion"/>
  </si>
  <si>
    <t>2015.06.10</t>
    <phoneticPr fontId="3" type="noConversion"/>
  </si>
  <si>
    <t>2016.07.06</t>
    <phoneticPr fontId="3" type="noConversion"/>
  </si>
  <si>
    <t>CN104698131B</t>
    <phoneticPr fontId="3" type="noConversion"/>
  </si>
  <si>
    <r>
      <t>常志勇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孙友宏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杨逍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郭威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刘宝昌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高科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佟金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邓孙华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陈东辉</t>
    </r>
    <r>
      <rPr>
        <sz val="12"/>
        <rFont val="Times New Roman"/>
        <family val="1"/>
      </rPr>
      <t xml:space="preserve">, </t>
    </r>
    <r>
      <rPr>
        <sz val="12"/>
        <rFont val="等线"/>
        <family val="3"/>
        <charset val="134"/>
        <scheme val="minor"/>
      </rPr>
      <t>马云海</t>
    </r>
    <phoneticPr fontId="3" type="noConversion"/>
  </si>
  <si>
    <t>Gas Logging System</t>
    <phoneticPr fontId="3" type="noConversion"/>
  </si>
  <si>
    <t>US11054407B2</t>
    <phoneticPr fontId="3" type="noConversion"/>
  </si>
  <si>
    <t>2019.05.30</t>
    <phoneticPr fontId="3" type="noConversion"/>
  </si>
  <si>
    <t>2019.09.12</t>
    <phoneticPr fontId="3" type="noConversion"/>
  </si>
  <si>
    <t>2021.07.06</t>
    <phoneticPr fontId="3" type="noConversion"/>
  </si>
  <si>
    <r>
      <t>Yonghong Sun, Zhiyong Chang, Xiaohui Weng, Lili Ren, Baochang Liu, Renchu Guan, Wei Guo, Jun Xie, Ke Gao, Jianhua Lv, Wei Liu, Deng Sunhua.</t>
    </r>
    <r>
      <rPr>
        <sz val="10.5"/>
        <rFont val="SimSun"/>
        <family val="3"/>
        <charset val="134"/>
      </rPr>
      <t>孙友宏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翁小辉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任丽丽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刘宝昌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管仁初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郭威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谢军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高科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吕建华</t>
    </r>
    <r>
      <rPr>
        <sz val="10.5"/>
        <rFont val="Times New Roman"/>
        <family val="1"/>
      </rPr>
      <t xml:space="preserve">,  </t>
    </r>
    <r>
      <rPr>
        <sz val="10.5"/>
        <rFont val="SimSun"/>
        <family val="3"/>
        <charset val="134"/>
      </rPr>
      <t>刘伟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邓孙华</t>
    </r>
    <phoneticPr fontId="3" type="noConversion"/>
  </si>
  <si>
    <t>Photoelectric fusion in-situ detection device and method for thermal volatile gases and thermal evolution stages of underground oil shale</t>
    <phoneticPr fontId="3" type="noConversion"/>
  </si>
  <si>
    <t>US 12618999B2</t>
    <phoneticPr fontId="3" type="noConversion"/>
  </si>
  <si>
    <t>2023.11.27</t>
    <phoneticPr fontId="3" type="noConversion"/>
  </si>
  <si>
    <t>2025.05.29</t>
    <phoneticPr fontId="3" type="noConversion"/>
  </si>
  <si>
    <t>2026.05.05</t>
    <phoneticPr fontId="3" type="noConversion"/>
  </si>
  <si>
    <t>Zhiyong Chang, Cheng Kong, Chengxin Song, Xiangyu Luan, Xiaohui Weng, Zongwei Yao, Tao Zhang, Ruochen An, Deng Sunhua. 常志勇, 孔铖, 宋成鑫, 栾祥宇, 翁小辉, 姚宗伟, 张涛, 安若宸, 邓孙华</t>
    <phoneticPr fontId="3" type="noConversion"/>
  </si>
  <si>
    <t>2018.05.01</t>
  </si>
  <si>
    <t>论文名称</t>
    <phoneticPr fontId="3" type="noConversion"/>
  </si>
  <si>
    <t>wos检索号</t>
    <phoneticPr fontId="3" type="noConversion"/>
  </si>
  <si>
    <t>期刊刊号</t>
    <phoneticPr fontId="3" type="noConversion"/>
  </si>
  <si>
    <t>他引次数</t>
    <phoneticPr fontId="3" type="noConversion"/>
  </si>
  <si>
    <t>中科院分区</t>
    <phoneticPr fontId="3" type="noConversion"/>
  </si>
  <si>
    <t>JCR分区</t>
    <phoneticPr fontId="3" type="noConversion"/>
  </si>
  <si>
    <t>期刊</t>
    <phoneticPr fontId="3" type="noConversion"/>
  </si>
  <si>
    <t>影响因子（当年）</t>
    <phoneticPr fontId="3" type="noConversion"/>
  </si>
  <si>
    <t>最高影响因子</t>
    <phoneticPr fontId="3" type="noConversion"/>
  </si>
  <si>
    <t>发表时间</t>
    <phoneticPr fontId="3" type="noConversion"/>
  </si>
  <si>
    <t>作者</t>
    <phoneticPr fontId="3" type="noConversion"/>
  </si>
  <si>
    <t>是否通信</t>
  </si>
  <si>
    <t>High-Adhesion Quadruple Hydrogen-Bonded Ionogels: A Dual-Function Platform for Gesture Recognition and Real-Time NH3 Detection in Multiscenario</t>
    <phoneticPr fontId="3" type="noConversion"/>
  </si>
  <si>
    <t>Energy and Environmental Materials</t>
    <phoneticPr fontId="3" type="noConversion"/>
  </si>
  <si>
    <t>Haohao Lin, Xiaotong Ma, Zihao Chen, Long Yang, Zitong Kan, Ruochen An, Lin Xu*, Zhiyong Chang*</t>
    <phoneticPr fontId="3" type="noConversion"/>
  </si>
  <si>
    <t>双通讯</t>
    <phoneticPr fontId="3" type="noConversion"/>
  </si>
  <si>
    <t>2026, 9(3): e70189</t>
    <phoneticPr fontId="3" type="noConversion"/>
  </si>
  <si>
    <t>Application of electronic nose technology in wastewater treatment plants monitoring: Progress and future developments</t>
    <phoneticPr fontId="3" type="noConversion"/>
  </si>
  <si>
    <t>Microchemical Journal</t>
    <phoneticPr fontId="3" type="noConversion"/>
  </si>
  <si>
    <t>Microchem J.</t>
    <phoneticPr fontId="3" type="noConversion"/>
  </si>
  <si>
    <t>2026.03.19</t>
    <phoneticPr fontId="3" type="noConversion"/>
  </si>
  <si>
    <t>Bingyang Wang, Yu Yan, Ruochen An, Xiaohui Weng, Zhiyong Chang*</t>
    <phoneticPr fontId="3" type="noConversion"/>
  </si>
  <si>
    <t>通讯</t>
    <phoneticPr fontId="3" type="noConversion"/>
  </si>
  <si>
    <t>2026, 224: 117768</t>
    <phoneticPr fontId="3" type="noConversion"/>
  </si>
  <si>
    <t>Porous ceramics prepared by non-solvent-induced phase separation: progress, challenges, and prospects</t>
    <phoneticPr fontId="3" type="noConversion"/>
  </si>
  <si>
    <t>Separation and Purification Technology</t>
    <phoneticPr fontId="3" type="noConversion"/>
  </si>
  <si>
    <t>Sep. Purif. Technol.</t>
    <phoneticPr fontId="3" type="noConversion"/>
  </si>
  <si>
    <t>2026.04.17</t>
    <phoneticPr fontId="3" type="noConversion"/>
  </si>
  <si>
    <t>Wei Yang, Mi Wang, Xiaohui Weng, Guolong Lu*, Zhiyong Chang*, Youhong Sun</t>
    <phoneticPr fontId="3" type="noConversion"/>
  </si>
  <si>
    <t>2026,387: 136565</t>
    <phoneticPr fontId="3" type="noConversion"/>
  </si>
  <si>
    <t>Modulation of Ice Formation and Removal Dynamics by Antifreeze Protein-Inspired Large-Area Films</t>
    <phoneticPr fontId="3" type="noConversion"/>
  </si>
  <si>
    <t>Advanced Functional Materials</t>
    <phoneticPr fontId="3" type="noConversion"/>
  </si>
  <si>
    <t>Adv. Funct. Mater.</t>
    <phoneticPr fontId="3" type="noConversion"/>
  </si>
  <si>
    <t>2026.02.15</t>
    <phoneticPr fontId="3" type="noConversion"/>
  </si>
  <si>
    <t>Qiang Wang, Yue Yuan, Huanyu Zhao, Yi-Bo Zhao, Zhiyong Chang*, Yong-Lai Zhang*, Dong-Dong Han*</t>
    <phoneticPr fontId="3" type="noConversion"/>
  </si>
  <si>
    <t>三通讯</t>
    <phoneticPr fontId="3" type="noConversion"/>
  </si>
  <si>
    <t>2026, 0: e28042</t>
    <phoneticPr fontId="3" type="noConversion"/>
  </si>
  <si>
    <t>PDMS/porous ceramic membrane with dendritic directional pore structure for gas-liquid separation</t>
    <phoneticPr fontId="3" type="noConversion"/>
  </si>
  <si>
    <t>Journal of Environmental Chemical Engineering</t>
    <phoneticPr fontId="3" type="noConversion"/>
  </si>
  <si>
    <t>2026.02.01</t>
    <phoneticPr fontId="3" type="noConversion"/>
  </si>
  <si>
    <t>2026, 14(1): 120866</t>
    <phoneticPr fontId="3" type="noConversion"/>
  </si>
  <si>
    <t>An electronic nose based on a humidity compensation mechanism for monitoring mine fires</t>
    <phoneticPr fontId="3" type="noConversion"/>
  </si>
  <si>
    <t>Sensors and Actuators A: Physical</t>
    <phoneticPr fontId="3" type="noConversion"/>
  </si>
  <si>
    <t>2025.12.16</t>
    <phoneticPr fontId="3" type="noConversion"/>
  </si>
  <si>
    <t>Changjun Guan, Xiangrun Pan, Xiangyu Luan, Hang Sun, Xiaohui Weng*, Zhiyong Chang*</t>
    <phoneticPr fontId="3" type="noConversion"/>
  </si>
  <si>
    <t>2025, 396: 117115</t>
    <phoneticPr fontId="3" type="noConversion"/>
  </si>
  <si>
    <t>Bioinspired mode-noise suppressed off-axis integrated cavity for rapid dynamic gas detection</t>
    <phoneticPr fontId="3" type="noConversion"/>
  </si>
  <si>
    <t>ACS Sensors</t>
    <phoneticPr fontId="3" type="noConversion"/>
  </si>
  <si>
    <t>ACS Sens.</t>
    <phoneticPr fontId="3" type="noConversion"/>
  </si>
  <si>
    <t>2025.11.20</t>
    <phoneticPr fontId="3" type="noConversion"/>
  </si>
  <si>
    <t>Lei Zhang, Xietao Wang, Xiangyu Luan, Hongyang Jin, Zixun Geng, Yishen Zhou, Kaiyuan Zheng, Chuantao Zheng*, Zhiyong Chang*</t>
    <phoneticPr fontId="3" type="noConversion"/>
  </si>
  <si>
    <t>2025, 10: 9294-9305</t>
    <phoneticPr fontId="3" type="noConversion"/>
  </si>
  <si>
    <t>An electronic nose combined with qualitative-quantitative two-stage hybrid model for wastewater detection in wastewater treatment plants</t>
    <phoneticPr fontId="3" type="noConversion"/>
  </si>
  <si>
    <t>Sensors and Actuators B: Chemical</t>
    <phoneticPr fontId="3" type="noConversion"/>
  </si>
  <si>
    <t>Bingyang Wang, Xiaodan Li, Donghui Chen, Ying Hu, Xiao Yang, Cheng Kong, Zhiyong Chang*</t>
    <phoneticPr fontId="3" type="noConversion"/>
  </si>
  <si>
    <t>2025,449: 139115</t>
    <phoneticPr fontId="3" type="noConversion"/>
  </si>
  <si>
    <t>Artificial intelligence and microfluidics empower bionic sensing: Small sampling chambers assist in high sensitivity gas detection</t>
    <phoneticPr fontId="3" type="noConversion"/>
  </si>
  <si>
    <t>2025.12.15</t>
    <phoneticPr fontId="3" type="noConversion"/>
  </si>
  <si>
    <t>Helin Wang, Zihao Chen, Xuezhi Chang, Tao Zhang, Zongwei Yao, Zhiyong Chang*</t>
    <phoneticPr fontId="3" type="noConversion"/>
  </si>
  <si>
    <t>2025, 445: 138542</t>
    <phoneticPr fontId="3" type="noConversion"/>
  </si>
  <si>
    <r>
      <rPr>
        <sz val="10.5"/>
        <rFont val="SimSun"/>
        <family val="3"/>
        <charset val="134"/>
      </rPr>
      <t>王赫琳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陈子豪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常学智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张涛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姚宗伟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3"/>
        <charset val="134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</si>
  <si>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Sensing while drilling and intelligent monitoring technology: research progress and application prospects</t>
    <phoneticPr fontId="3" type="noConversion"/>
  </si>
  <si>
    <t>Sensors</t>
    <phoneticPr fontId="3" type="noConversion"/>
  </si>
  <si>
    <t>2025.10.15</t>
    <phoneticPr fontId="3" type="noConversion"/>
  </si>
  <si>
    <t>Xiaoyu Liu, Zongwei Yao, Tao Zhang 4*, Zhiyong Chang*</t>
    <phoneticPr fontId="3" type="noConversion"/>
  </si>
  <si>
    <t>2025, 25(20): 6368</t>
    <phoneticPr fontId="3" type="noConversion"/>
  </si>
  <si>
    <t>Deep learning framework for oil shale pyrolysis state recognition using bionic electronic nose</t>
    <phoneticPr fontId="3" type="noConversion"/>
  </si>
  <si>
    <t>International Journal of Computational Intelligence Systems</t>
    <phoneticPr fontId="3" type="noConversion"/>
  </si>
  <si>
    <t>Int. J. Comput. Intell. Syst.</t>
    <phoneticPr fontId="3" type="noConversion"/>
  </si>
  <si>
    <t>2025.07.13</t>
    <phoneticPr fontId="3" type="noConversion"/>
  </si>
  <si>
    <t>Yuping Yuan, Xiaohui Weng, Yuheng Qiao, Xiaohu Shi*, Zhiyong Chang*</t>
    <phoneticPr fontId="3" type="noConversion"/>
  </si>
  <si>
    <t>2025, 18(1): 179</t>
    <phoneticPr fontId="3" type="noConversion"/>
  </si>
  <si>
    <r>
      <rPr>
        <sz val="10.5"/>
        <rFont val="SimSun"/>
        <family val="3"/>
        <charset val="134"/>
      </rPr>
      <t>袁雨萍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翁小辉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乔钰恒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时小虎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</si>
  <si>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Bionic enriched olfactory system with preconcentration-enhanced sensing and hierarchical regression analysis strategy for ultra-sensitive detection of soil petroleum hydrocarbon contamination</t>
    <phoneticPr fontId="3" type="noConversion"/>
  </si>
  <si>
    <t>2025.12.01</t>
    <phoneticPr fontId="3" type="noConversion"/>
  </si>
  <si>
    <t>Hongyang Jin, Zihao Chen, Shuai Zhao, Xiangyu Luan, Tao Zhang, Cheng Kong, Zongwei Yao*, Zhiyong Chang*</t>
    <phoneticPr fontId="3" type="noConversion"/>
  </si>
  <si>
    <t>2025, 444: 138424</t>
    <phoneticPr fontId="3" type="noConversion"/>
  </si>
  <si>
    <r>
      <rPr>
        <sz val="10.5"/>
        <rFont val="SimSun"/>
        <family val="3"/>
        <charset val="134"/>
      </rPr>
      <t>靳宏杨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陈子豪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赵帅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栾祥宇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张涛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孔铖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姚宗伟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</si>
  <si>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DAFF-SNN: Dual Attention-driven and Feature Fusion-based Spiking Neural Network for Epilepsy Detection based on Electroencephalogram</t>
    <phoneticPr fontId="3" type="noConversion"/>
  </si>
  <si>
    <t>IEEE journal of biomedical and health informatics</t>
    <phoneticPr fontId="3" type="noConversion"/>
  </si>
  <si>
    <t>2026.01.01</t>
    <phoneticPr fontId="3" type="noConversion"/>
  </si>
  <si>
    <t>Tao Zhang*, Lanqi He, Dingguo Zhang, Mingyang Li, Zhiyong Chang*</t>
    <phoneticPr fontId="3" type="noConversion"/>
  </si>
  <si>
    <t>2026, 30(1): 315-327</t>
    <phoneticPr fontId="3" type="noConversion"/>
  </si>
  <si>
    <t>Bionic electronic nose system based on integrated dust augmentation idea for hierarchical early warning of mine fires</t>
    <phoneticPr fontId="3" type="noConversion"/>
  </si>
  <si>
    <t>2025.11.01</t>
    <phoneticPr fontId="3" type="noConversion"/>
  </si>
  <si>
    <t>Xiangyu Luan, Hongyang Jin, Cheng Kong, Xiangrun Pan, Zihao Chen, Xiaotong Ma, Ruochen An, Zhiyong Chang*</t>
    <phoneticPr fontId="3" type="noConversion"/>
  </si>
  <si>
    <t>2025, 442: 138069</t>
    <phoneticPr fontId="3" type="noConversion"/>
  </si>
  <si>
    <r>
      <rPr>
        <sz val="10.5"/>
        <rFont val="SimSun"/>
        <family val="3"/>
        <charset val="134"/>
      </rPr>
      <t>栾祥宇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靳宏杨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孔铖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潘相润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陈子豪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马晓彤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安若宸</t>
    </r>
    <r>
      <rPr>
        <sz val="10.5"/>
        <rFont val="Times New Roman"/>
        <family val="1"/>
      </rPr>
      <t xml:space="preserve">, 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</si>
  <si>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Advancements in gas-liquid separation based on membrane contactors: Critical factors enhancing separation efficiency</t>
    <phoneticPr fontId="3" type="noConversion"/>
  </si>
  <si>
    <t>Process Safety and Environmental Protection</t>
    <phoneticPr fontId="3" type="noConversion"/>
  </si>
  <si>
    <t>Process Saf. Environ. Protect.</t>
    <phoneticPr fontId="3" type="noConversion"/>
  </si>
  <si>
    <t>2025.05.21/2025.08</t>
    <phoneticPr fontId="3" type="noConversion"/>
  </si>
  <si>
    <t>Helin Wang, Tao Zhang, Ruochen An, Lin Sun, Xiaohui Weng, Zhiyong Chang*</t>
    <phoneticPr fontId="3" type="noConversion"/>
  </si>
  <si>
    <t>2025, 200: 107350</t>
    <phoneticPr fontId="3" type="noConversion"/>
  </si>
  <si>
    <r>
      <rPr>
        <sz val="10.5"/>
        <rFont val="SimSun"/>
        <family val="3"/>
        <charset val="134"/>
      </rPr>
      <t>王赫琳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张涛</t>
    </r>
    <r>
      <rPr>
        <sz val="10.5"/>
        <rFont val="Times New Roman"/>
        <family val="1"/>
      </rPr>
      <t xml:space="preserve">,  </t>
    </r>
    <r>
      <rPr>
        <sz val="10.5"/>
        <rFont val="SimSun"/>
        <family val="3"/>
        <charset val="134"/>
      </rPr>
      <t>安若宸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孙霖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翁小辉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</si>
  <si>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A bio-inspired gas sensing sampling chamber inspired by the sensitive olfaction of sturgeons: Achieving low-power inspection and high-sensitivity sensing</t>
    <phoneticPr fontId="3" type="noConversion"/>
  </si>
  <si>
    <t>2025.06.15</t>
    <phoneticPr fontId="3" type="noConversion"/>
  </si>
  <si>
    <t>Hongyang Jin, Xuezhi Chang, Xiangyu Luan, Zihao Chen, Tao Zhang, Jingmin Dang, Xiaohui Weng, Zhiyong Chang*</t>
    <phoneticPr fontId="3" type="noConversion"/>
  </si>
  <si>
    <t>2025, 433: 137536</t>
    <phoneticPr fontId="3" type="noConversion"/>
  </si>
  <si>
    <r>
      <rPr>
        <sz val="10.5"/>
        <rFont val="SimSun"/>
        <family val="3"/>
        <charset val="134"/>
      </rPr>
      <t>靳宏杨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常学智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栾祥宇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陈子豪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张涛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党敬民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翁小辉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</si>
  <si>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Light-propelled photocatalytic evaporator for robotic solar-driven water purification</t>
    <phoneticPr fontId="3" type="noConversion"/>
  </si>
  <si>
    <t>PhotoniX</t>
    <phoneticPr fontId="3" type="noConversion"/>
  </si>
  <si>
    <t>2025.04.09</t>
    <phoneticPr fontId="3" type="noConversion"/>
  </si>
  <si>
    <t>Dongdong Han, Qiang Wang, Zhaodi Chen, Lei Wang, Zhiyong Chang*, Shengyi Xie, Xianbin Li, Wei Zhang, Yonglai Zhang*</t>
    <phoneticPr fontId="3" type="noConversion"/>
  </si>
  <si>
    <t>2025, 6: 11</t>
    <phoneticPr fontId="3" type="noConversion"/>
  </si>
  <si>
    <t>Dual biomimetic gas–liquid separation system with fluid steering function: synergistic enhancement to improve separation efficiency</t>
    <phoneticPr fontId="3" type="noConversion"/>
  </si>
  <si>
    <t>2025.11.30</t>
    <phoneticPr fontId="3" type="noConversion"/>
  </si>
  <si>
    <t>Helin Wang, Xiaodan Li, Xiaotong Ma, Ruochen An, Tao Zhang, Xiaohui Weng, Zhiyong Chang*</t>
    <phoneticPr fontId="3" type="noConversion"/>
  </si>
  <si>
    <t>2025, 371: 133167</t>
    <phoneticPr fontId="3" type="noConversion"/>
  </si>
  <si>
    <r>
      <rPr>
        <sz val="10.5"/>
        <rFont val="SimSun"/>
        <family val="3"/>
        <charset val="134"/>
      </rPr>
      <t>王赫琳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李晓丹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马晓彤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安若宸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张涛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翁小辉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>)</t>
    </r>
    <phoneticPr fontId="3" type="noConversion"/>
  </si>
  <si>
    <t>Efficient detection technology of Ganoderma lucidum spore powder quality based on electronic nose</t>
    <phoneticPr fontId="3" type="noConversion"/>
  </si>
  <si>
    <t>Chemical Engineering Journal</t>
    <phoneticPr fontId="3" type="noConversion"/>
  </si>
  <si>
    <t>2025.05.01</t>
    <phoneticPr fontId="3" type="noConversion"/>
  </si>
  <si>
    <t>Jianlei Qiao, Jinying Li, Chang Liu, Yi Zhang, Shuang Liu*, Xiaohui Weng*, Zhiyong Chang*</t>
    <phoneticPr fontId="3" type="noConversion"/>
  </si>
  <si>
    <t>2025, 511: 162158</t>
    <phoneticPr fontId="3" type="noConversion"/>
  </si>
  <si>
    <t>Bioinspired sensor and actuator hybrid pixel array for moisture/temperature mapping, electrothermal display and programmable deformation</t>
    <phoneticPr fontId="3" type="noConversion"/>
  </si>
  <si>
    <t>Nano Letters</t>
    <phoneticPr fontId="3" type="noConversion"/>
  </si>
  <si>
    <t>Nano Lett.</t>
    <phoneticPr fontId="3" type="noConversion"/>
  </si>
  <si>
    <t>2025.03.06</t>
    <phoneticPr fontId="3" type="noConversion"/>
  </si>
  <si>
    <t>Jiarui Zhang, Ang Li, Xilin Li, Zhiyong Chang*, Dongdong Han, Yonglai Zhang*</t>
    <phoneticPr fontId="3" type="noConversion"/>
  </si>
  <si>
    <t>2025, ﻿25: 4586-4595</t>
    <phoneticPr fontId="3" type="noConversion"/>
  </si>
  <si>
    <t>Near-infrared mobile cloud OA-ICOS sensor system for atmospheric carbon dioxide monitoring</t>
    <phoneticPr fontId="3" type="noConversion"/>
  </si>
  <si>
    <t>Analytical Chemistry</t>
    <phoneticPr fontId="3" type="noConversion"/>
  </si>
  <si>
    <t>Anal. Chem.</t>
    <phoneticPr fontId="3" type="noConversion"/>
  </si>
  <si>
    <t>2025.02.12</t>
    <phoneticPr fontId="3" type="noConversion"/>
  </si>
  <si>
    <t>Lei Zhang, Ying Hua, Yishen Zhou, Kaiyuan Zheng, Fang Song, Zhiyong Chang*, Chuantao Zheng*</t>
    <phoneticPr fontId="3" type="noConversion"/>
  </si>
  <si>
    <t>2025, 97(7): 4021-4030</t>
    <phoneticPr fontId="3" type="noConversion"/>
  </si>
  <si>
    <r>
      <rPr>
        <sz val="10.5"/>
        <rFont val="SimSun"/>
        <family val="3"/>
        <charset val="134"/>
      </rPr>
      <t>张磊</t>
    </r>
    <r>
      <rPr>
        <sz val="10.5"/>
        <rFont val="Times New Roman"/>
        <family val="1"/>
      </rPr>
      <t xml:space="preserve">, 华莹, 周义深, 郑凯元, </t>
    </r>
    <r>
      <rPr>
        <sz val="10.5"/>
        <rFont val="SimSun"/>
        <family val="3"/>
        <charset val="134"/>
      </rPr>
      <t>宋芳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(</t>
    </r>
    <r>
      <rPr>
        <sz val="10.5"/>
        <rFont val="SimSun"/>
        <family val="3"/>
        <charset val="134"/>
      </rPr>
      <t>通讯作者</t>
    </r>
    <r>
      <rPr>
        <sz val="10.5"/>
        <rFont val="Times New Roman"/>
        <family val="1"/>
      </rPr>
      <t xml:space="preserve">), </t>
    </r>
    <r>
      <rPr>
        <sz val="10.5"/>
        <rFont val="SimSun"/>
        <family val="3"/>
        <charset val="134"/>
      </rPr>
      <t>郑传涛</t>
    </r>
    <phoneticPr fontId="3" type="noConversion"/>
  </si>
  <si>
    <t>Phosphine oxide functionalized porous aromatic frameworks enabled wireless bionic olfactory system with preconcentration capability for trace ammonia monitoring</t>
    <phoneticPr fontId="3" type="noConversion"/>
  </si>
  <si>
    <t>2025.01.15</t>
    <phoneticPr fontId="3" type="noConversion"/>
  </si>
  <si>
    <t>Shuai Zhao, Hongyang Jin, Zihao Chen, Yonglai Zhang, Xiaoqin Zou, Lin Xu, Shaolei Wang, Zhenglei Yu, Zhiyong Chang*</t>
    <phoneticPr fontId="3" type="noConversion"/>
  </si>
  <si>
    <t>2025, 506: 160282</t>
    <phoneticPr fontId="3" type="noConversion"/>
  </si>
  <si>
    <r>
      <rPr>
        <sz val="10.5"/>
        <color theme="1"/>
        <rFont val="SimSun"/>
        <family val="3"/>
        <charset val="134"/>
      </rPr>
      <t>赵帅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靳宏杨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陈子豪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张永来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邹小勤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徐琳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王绍磊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于征磊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</si>
  <si>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An electronic nose combined with qualitative-quantitative two-stage hybrid modeling for microbial quantitative prediction in automotive air conditioners</t>
    <phoneticPr fontId="3" type="noConversion"/>
  </si>
  <si>
    <t>2025.03.15</t>
    <phoneticPr fontId="3" type="noConversion"/>
  </si>
  <si>
    <t>Lidong Tan, Yonglong Ren, Tao Zhang, Cheng Kong, Xiaohui Weng*, Zhiyong Chang*</t>
    <phoneticPr fontId="3" type="noConversion"/>
  </si>
  <si>
    <t>2025, 427: 137083</t>
    <phoneticPr fontId="3" type="noConversion"/>
  </si>
  <si>
    <r>
      <rPr>
        <sz val="10.5"/>
        <rFont val="宋体"/>
        <family val="3"/>
        <charset val="134"/>
      </rPr>
      <t>谭立东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任永龙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张涛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孔铖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翁小辉</t>
    </r>
    <r>
      <rPr>
        <sz val="10.5"/>
        <rFont val="Times New Roman"/>
        <family val="1"/>
      </rPr>
      <t xml:space="preserve">*, </t>
    </r>
    <r>
      <rPr>
        <sz val="10.5"/>
        <rFont val="宋体"/>
        <family val="3"/>
        <charset val="134"/>
      </rPr>
      <t>常志勇</t>
    </r>
    <r>
      <rPr>
        <sz val="10.5"/>
        <rFont val="Times New Roman"/>
        <family val="1"/>
      </rPr>
      <t>*</t>
    </r>
    <phoneticPr fontId="3" type="noConversion"/>
  </si>
  <si>
    <t>Preparation and regulation of high-strength and high-permeability porous ceramic/PDMS composite membranes for gas-liquid separation</t>
    <phoneticPr fontId="3" type="noConversion"/>
  </si>
  <si>
    <t>地大</t>
    <phoneticPr fontId="3" type="noConversion"/>
  </si>
  <si>
    <t>Applied Surface Science</t>
    <phoneticPr fontId="3" type="noConversion"/>
  </si>
  <si>
    <t>Appl. Surf. Sci.</t>
    <phoneticPr fontId="3" type="noConversion"/>
  </si>
  <si>
    <t>2024.08.30</t>
    <phoneticPr fontId="3" type="noConversion"/>
  </si>
  <si>
    <t>Wei Yang, Hao Cui, Mi Wang, Xiaohui Weng, Guolong Lu*, Zhiyong Chang*, Youhong Sun</t>
    <phoneticPr fontId="3" type="noConversion"/>
  </si>
  <si>
    <t>2024, 678: 161114</t>
    <phoneticPr fontId="3" type="noConversion"/>
  </si>
  <si>
    <t>杨微, 崔浩，王蜜,翁小辉, 卢国龙, 常志勇*, 孙友宏</t>
    <phoneticPr fontId="3" type="noConversion"/>
  </si>
  <si>
    <t>A customized zeolitic imidazolate framework enabling bionic preconcentration of ultralow CO2</t>
    <phoneticPr fontId="3" type="noConversion"/>
  </si>
  <si>
    <t>Science China-Materials</t>
    <phoneticPr fontId="3" type="noConversion"/>
  </si>
  <si>
    <t>Sci. China-Mater.</t>
    <phoneticPr fontId="3" type="noConversion"/>
  </si>
  <si>
    <t>2024.08.20</t>
    <phoneticPr fontId="3" type="noConversion"/>
  </si>
  <si>
    <t xml:space="preserve">Hongyang Jin, Ziyang Wang, Guangli Yu, Junchao Dong, Shuai Zhao, Fengchao Cui, Hao Zhang, Guolong Lu, Xiaoqin Zou, Zhiyong Chang* </t>
    <phoneticPr fontId="3" type="noConversion"/>
  </si>
  <si>
    <t>2024, 67(10): 3401-3407</t>
    <phoneticPr fontId="3" type="noConversion"/>
  </si>
  <si>
    <t>靳宏杨，王子阳，于广莉，董俊超，赵帅，崔凤超，张浩，卢国龙，邹小勤，常志勇*</t>
    <phoneticPr fontId="3" type="noConversion"/>
  </si>
  <si>
    <t>A multimodal sensing network based on synergistically sensitized polyaniline composites strategy for safety monitoring in pesticide spraying</t>
    <phoneticPr fontId="3" type="noConversion"/>
  </si>
  <si>
    <t>2024.12.01</t>
    <phoneticPr fontId="3" type="noConversion"/>
  </si>
  <si>
    <t>Long Yang, Haiyang Huang, Qingqing Zhou, Zitong Kan, Yu Qi, Biao Dong, Hongwei Song, Luquan Ren, Lin Xu*, Siyao Yu*, Zhiyong Chang*</t>
    <phoneticPr fontId="3" type="noConversion"/>
  </si>
  <si>
    <t>2024, 420: 136486</t>
    <phoneticPr fontId="3" type="noConversion"/>
  </si>
  <si>
    <r>
      <rPr>
        <sz val="10.5"/>
        <rFont val="宋体"/>
        <family val="3"/>
        <charset val="134"/>
      </rPr>
      <t>杨龙，黄海洋，周青青，阚梓铜，齐钰，董彪，宋宏伟，任露泉，徐琳*，于思瑶*，常志勇*</t>
    </r>
    <r>
      <rPr>
        <sz val="10.5"/>
        <rFont val="Times New Roman"/>
        <family val="1"/>
      </rPr>
      <t xml:space="preserve"> </t>
    </r>
    <phoneticPr fontId="3" type="noConversion"/>
  </si>
  <si>
    <t>Efficient Separation of SO2/NO2 on in-Situ Synthesized NaA Zeolite Membrane</t>
    <phoneticPr fontId="3" type="noConversion"/>
  </si>
  <si>
    <t>Journal of Membrane Science</t>
    <phoneticPr fontId="3" type="noConversion"/>
  </si>
  <si>
    <t>J. Membr. Sci.</t>
    <phoneticPr fontId="3" type="noConversion"/>
  </si>
  <si>
    <t>2024.09.01</t>
    <phoneticPr fontId="3" type="noConversion"/>
  </si>
  <si>
    <t>Ziyi Li, Xinjian Liu, Yongyan Deng, Xiong Yang*, Yixing Guan, Jiaxing Wu, Junchao Dong, Zhiyong Chang*, Xiaoqin Zou*</t>
    <phoneticPr fontId="3" type="noConversion"/>
  </si>
  <si>
    <t>2024, 709: 123097</t>
    <phoneticPr fontId="3" type="noConversion"/>
  </si>
  <si>
    <t>李子宜, 刘欣剑, 邓永砚, 杨雄*, 关艺兴, 伍佳兴, 董俊超, 常志勇*, 邹小勤*</t>
    <phoneticPr fontId="3" type="noConversion"/>
  </si>
  <si>
    <t>Fine-tuning porosity of In-MOFs with ncb topology based on reticular chemistry for one-step purification C2H4 from ternary C2H6/C2H4/C2H2 mixtures</t>
    <phoneticPr fontId="3" type="noConversion"/>
  </si>
  <si>
    <t>2024.12.03</t>
    <phoneticPr fontId="3" type="noConversion"/>
  </si>
  <si>
    <t>Wen Li, Borong Zhang, Zhaohui Shi, Lirong Zhang, Zhiyong Chang*, Yunling Liu*</t>
    <phoneticPr fontId="3" type="noConversion"/>
  </si>
  <si>
    <t>2024, 349: 127863</t>
    <phoneticPr fontId="3" type="noConversion"/>
  </si>
  <si>
    <t>Chinese architecture inspired smart roof tile integrating radiation cooling, water harvesting, and energy recycling</t>
    <phoneticPr fontId="3" type="noConversion"/>
  </si>
  <si>
    <t>Nano Energy</t>
    <phoneticPr fontId="3" type="noConversion"/>
  </si>
  <si>
    <t>2024.08.01</t>
    <phoneticPr fontId="3" type="noConversion"/>
  </si>
  <si>
    <t>Heng Xie, Yu Du, Xiaolong Li, Congyuan Zhang, Weilong Zhou, Xiao Yang, Zhiyong Chang*, Ting Wu*, Jinping Qu</t>
    <phoneticPr fontId="3" type="noConversion"/>
  </si>
  <si>
    <t>2024, 127: 109709</t>
    <phoneticPr fontId="3" type="noConversion"/>
  </si>
  <si>
    <r>
      <rPr>
        <sz val="10.5"/>
        <rFont val="宋体"/>
        <family val="3"/>
        <charset val="134"/>
      </rPr>
      <t>谢恒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杜宇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李小龙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张聪源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周威龙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常志勇</t>
    </r>
    <r>
      <rPr>
        <sz val="10.5"/>
        <rFont val="Times New Roman"/>
        <family val="1"/>
      </rPr>
      <t xml:space="preserve">*, </t>
    </r>
    <r>
      <rPr>
        <sz val="10.5"/>
        <rFont val="宋体"/>
        <family val="3"/>
        <charset val="134"/>
      </rPr>
      <t>吴婷*</t>
    </r>
    <r>
      <rPr>
        <sz val="10.5"/>
        <rFont val="Times New Roman"/>
        <family val="1"/>
      </rPr>
      <t xml:space="preserve">, </t>
    </r>
    <r>
      <rPr>
        <sz val="10.5"/>
        <rFont val="宋体"/>
        <family val="3"/>
        <charset val="134"/>
      </rPr>
      <t>瞿金平</t>
    </r>
    <phoneticPr fontId="3" type="noConversion"/>
  </si>
  <si>
    <t>Soil pesticides pollution detection and specific recognition using electronic nose</t>
    <phoneticPr fontId="3" type="noConversion"/>
  </si>
  <si>
    <t>威海</t>
    <phoneticPr fontId="3" type="noConversion"/>
  </si>
  <si>
    <t>2024.06.01</t>
    <phoneticPr fontId="3" type="noConversion"/>
  </si>
  <si>
    <t>Cheng Kong, Lili Ren, Xiaohu Shi, Zhiyong Chang*</t>
    <phoneticPr fontId="3" type="noConversion"/>
  </si>
  <si>
    <t>2024, 408: 135492</t>
    <phoneticPr fontId="3" type="noConversion"/>
  </si>
  <si>
    <r>
      <rPr>
        <sz val="10.5"/>
        <rFont val="SimSun"/>
        <family val="3"/>
        <charset val="134"/>
      </rPr>
      <t>孔铖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任丽丽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时小虎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常志勇</t>
    </r>
    <r>
      <rPr>
        <sz val="10.5"/>
        <rFont val="Times New Roman"/>
        <family val="1"/>
      </rPr>
      <t>*</t>
    </r>
    <phoneticPr fontId="3" type="noConversion"/>
  </si>
  <si>
    <t>An unprecedented Cu6 cluster-based bimetallic MOF with multiple open sites for high CO2 capture and efficient CO2 conversion</t>
    <phoneticPr fontId="3" type="noConversion"/>
  </si>
  <si>
    <t>Inorganic Chemistry Frontiers</t>
    <phoneticPr fontId="3" type="noConversion"/>
  </si>
  <si>
    <t>Inorg. Chem. Front.</t>
    <phoneticPr fontId="3" type="noConversion"/>
  </si>
  <si>
    <t>2024.05.10</t>
    <phoneticPr fontId="3" type="noConversion"/>
  </si>
  <si>
    <t>Xueyue Yu, Jiaming Gu, Baobing Tang, Tong Xu, Guanghua Li, Zhiyong Chang*, Yunling Liu*</t>
    <phoneticPr fontId="3" type="noConversion"/>
  </si>
  <si>
    <t>2024, 11: 3494-3502</t>
    <phoneticPr fontId="3" type="noConversion"/>
  </si>
  <si>
    <r>
      <rPr>
        <sz val="10.5"/>
        <color theme="1"/>
        <rFont val="宋体"/>
        <family val="3"/>
        <charset val="134"/>
      </rPr>
      <t>检测限：甲烷</t>
    </r>
    <r>
      <rPr>
        <sz val="10.5"/>
        <color theme="1"/>
        <rFont val="Times New Roman"/>
        <family val="1"/>
      </rPr>
      <t>390 ppb</t>
    </r>
    <r>
      <rPr>
        <sz val="10.5"/>
        <color theme="1"/>
        <rFont val="宋体"/>
        <family val="3"/>
        <charset val="134"/>
      </rPr>
      <t>、水</t>
    </r>
    <r>
      <rPr>
        <sz val="10.5"/>
        <color theme="1"/>
        <rFont val="Times New Roman"/>
        <family val="1"/>
      </rPr>
      <t>120 ppb</t>
    </r>
    <phoneticPr fontId="3" type="noConversion"/>
  </si>
  <si>
    <t>Optical-domain modulation cancellation method for background-suppression and dual-gas detection in light-induced thermo-elastic spectroscopy</t>
    <phoneticPr fontId="3" type="noConversion"/>
  </si>
  <si>
    <t>Sens. Actuator B-Chem.</t>
    <phoneticPr fontId="3" type="noConversion"/>
  </si>
  <si>
    <t>2024.04.01</t>
    <phoneticPr fontId="3" type="noConversion"/>
  </si>
  <si>
    <t>Yanming Ma, Xin Sui, Fang Song, Zhiyong Chang*, Yu Zhang, Chuantao Zheng*, Yiding Wang, Frank K. Tittel</t>
    <phoneticPr fontId="3" type="noConversion"/>
  </si>
  <si>
    <t>2024, 404: 135168</t>
    <phoneticPr fontId="3" type="noConversion"/>
  </si>
  <si>
    <r>
      <rPr>
        <sz val="10.5"/>
        <color theme="1"/>
        <rFont val="宋体"/>
        <family val="3"/>
        <charset val="134"/>
      </rPr>
      <t>甲烷</t>
    </r>
    <r>
      <rPr>
        <sz val="10.5"/>
        <color theme="1"/>
        <rFont val="Times New Roman"/>
        <family val="1"/>
      </rPr>
      <t>650 ppb，稳定性提高1个数量级（间接说明）</t>
    </r>
    <phoneticPr fontId="3" type="noConversion"/>
  </si>
  <si>
    <r>
      <t>马琰铭，隋心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3"/>
        <charset val="134"/>
      </rPr>
      <t>宋芳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3"/>
        <charset val="134"/>
      </rPr>
      <t>常志勇</t>
    </r>
    <r>
      <rPr>
        <sz val="10.5"/>
        <color theme="1"/>
        <rFont val="Times New Roman"/>
        <family val="1"/>
      </rPr>
      <t xml:space="preserve">*, </t>
    </r>
    <r>
      <rPr>
        <sz val="10.5"/>
        <color theme="1"/>
        <rFont val="宋体"/>
        <family val="3"/>
        <charset val="134"/>
      </rPr>
      <t>张宇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3"/>
        <charset val="134"/>
      </rPr>
      <t>郑传涛</t>
    </r>
    <r>
      <rPr>
        <sz val="10.5"/>
        <color theme="1"/>
        <rFont val="Times New Roman"/>
        <family val="1"/>
      </rPr>
      <t xml:space="preserve">*, </t>
    </r>
    <r>
      <rPr>
        <sz val="10.5"/>
        <color theme="1"/>
        <rFont val="宋体"/>
        <family val="3"/>
        <charset val="134"/>
      </rPr>
      <t>王一丁, Frank K. Tittel</t>
    </r>
    <phoneticPr fontId="3" type="noConversion"/>
  </si>
  <si>
    <t>Simultaneous atmospheric CH4, CO2 and O2 detection using fiber-optic switch (FOS)-based time-division multiplexed NIR laser long optical path absorption spectroscopy</t>
    <phoneticPr fontId="3" type="noConversion"/>
  </si>
  <si>
    <t>Jingmin Dang, Junhe Zhang, Tianhua Chen, Chuantao Zheng, Yujing Sun, Haiye Yu, Zhiyong Chang*</t>
    <phoneticPr fontId="3" type="noConversion"/>
  </si>
  <si>
    <t>2024, 404: 135256</t>
    <phoneticPr fontId="3" type="noConversion"/>
  </si>
  <si>
    <r>
      <rPr>
        <sz val="10.5"/>
        <color theme="1"/>
        <rFont val="宋体"/>
        <family val="3"/>
        <charset val="134"/>
      </rPr>
      <t>张郡赫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陈天华</t>
    </r>
    <r>
      <rPr>
        <sz val="10.5"/>
        <color theme="1"/>
        <rFont val="Times New Roman"/>
        <family val="3"/>
        <charset val="134"/>
      </rPr>
      <t xml:space="preserve"> 孙裕晶</t>
    </r>
    <phoneticPr fontId="3" type="noConversion"/>
  </si>
  <si>
    <t>党敬民, 张郡赫, 陈天华, 郑传涛, 孙裕晶, 于海业, 常志勇*</t>
    <phoneticPr fontId="3" type="noConversion"/>
  </si>
  <si>
    <t>Development an electronic nose to recognize pesticides in groundwater</t>
    <phoneticPr fontId="3" type="noConversion"/>
  </si>
  <si>
    <t>Talanta</t>
    <phoneticPr fontId="3" type="noConversion"/>
  </si>
  <si>
    <t>2024.03.01</t>
    <phoneticPr fontId="3" type="noConversion"/>
  </si>
  <si>
    <t>Bingyang Wang, Donghui Chen, Xiaohui Weng, Zhiyong Chang*</t>
    <phoneticPr fontId="3" type="noConversion"/>
  </si>
  <si>
    <r>
      <rPr>
        <sz val="10.5"/>
        <color theme="1"/>
        <rFont val="宋体"/>
        <family val="3"/>
        <charset val="134"/>
      </rPr>
      <t>通讯</t>
    </r>
    <phoneticPr fontId="3" type="noConversion"/>
  </si>
  <si>
    <t>2024, 269: 125506</t>
    <phoneticPr fontId="3" type="noConversion"/>
  </si>
  <si>
    <r>
      <rPr>
        <sz val="10.5"/>
        <color theme="1"/>
        <rFont val="SimSun"/>
        <family val="3"/>
        <charset val="134"/>
      </rPr>
      <t>王冰洋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陈东辉</t>
    </r>
    <r>
      <rPr>
        <sz val="10.5"/>
        <color theme="1"/>
        <rFont val="Times New Roman"/>
        <family val="1"/>
      </rPr>
      <t>, 翁小辉, 常志勇*</t>
    </r>
    <phoneticPr fontId="3" type="noConversion"/>
  </si>
  <si>
    <t>Slow-light-enhanced polarization division multiplexing infrared absorption spectroscopy for on-chip wideband multigas detection in a 1D photonic crystal waveguide</t>
    <phoneticPr fontId="3" type="noConversion"/>
  </si>
  <si>
    <t>2024.02.16</t>
    <phoneticPr fontId="3" type="noConversion"/>
  </si>
  <si>
    <t>Zihang Peng, Yijun Huang, Kaiyuan Zheng, Yuting Min, Huan Zhao, Mingquan Pi, Fang Song, Chuantao Zheng*, Yu Zhang, Zhiyong Chang*, Yiding Wang</t>
    <phoneticPr fontId="3" type="noConversion"/>
  </si>
  <si>
    <t>2024, 96(8): 3445-3453</t>
    <phoneticPr fontId="3" type="noConversion"/>
  </si>
  <si>
    <t>张海鹏，黄一俊，郑凯元，闵昱婷，黄钊，皮明权, 宋芳, 郑传涛*, 张宇, 常志勇*, 王一丁</t>
    <phoneticPr fontId="3" type="noConversion"/>
  </si>
  <si>
    <t>Rapid identification of pesticides in soil by bionic sniffing sensing system with unknown category detection function</t>
    <phoneticPr fontId="3" type="noConversion"/>
  </si>
  <si>
    <t>地大、威海</t>
    <phoneticPr fontId="3" type="noConversion"/>
  </si>
  <si>
    <t>Computers and Electronics in Agriculture</t>
    <phoneticPr fontId="3" type="noConversion"/>
  </si>
  <si>
    <t>Comput. Electron. Agric.</t>
    <phoneticPr fontId="3" type="noConversion"/>
  </si>
  <si>
    <t>2024.01.24</t>
    <phoneticPr fontId="3" type="noConversion"/>
  </si>
  <si>
    <t>Cheng Kong, Lili Ren, Tao Zhang, Youhong Sun, Zhiyong Chang*</t>
    <phoneticPr fontId="3" type="noConversion"/>
  </si>
  <si>
    <t>2024, 217: 108667</t>
    <phoneticPr fontId="3" type="noConversion"/>
  </si>
  <si>
    <r>
      <rPr>
        <sz val="10.5"/>
        <rFont val="SimSun"/>
        <family val="3"/>
        <charset val="134"/>
      </rPr>
      <t>孔铖</t>
    </r>
    <r>
      <rPr>
        <sz val="10.5"/>
        <rFont val="Times New Roman"/>
        <family val="1"/>
      </rPr>
      <t xml:space="preserve">, </t>
    </r>
    <r>
      <rPr>
        <sz val="10.5"/>
        <rFont val="SimSun"/>
        <family val="3"/>
        <charset val="134"/>
      </rPr>
      <t>任丽丽</t>
    </r>
    <r>
      <rPr>
        <sz val="10.5"/>
        <rFont val="Times New Roman"/>
        <family val="1"/>
      </rPr>
      <t>, 张涛, 孙友宏, 常志勇*</t>
    </r>
    <phoneticPr fontId="3" type="noConversion"/>
  </si>
  <si>
    <t>Bio-inspired spindle-shaped wrinkled Au/ZnO nanoparticles for H2S-sensing enhancement</t>
    <phoneticPr fontId="3" type="noConversion"/>
  </si>
  <si>
    <t>Ceramics International</t>
    <phoneticPr fontId="3" type="noConversion"/>
  </si>
  <si>
    <t>Ceram. Int.</t>
    <phoneticPr fontId="3" type="noConversion"/>
  </si>
  <si>
    <t>2023.12.15</t>
    <phoneticPr fontId="3" type="noConversion"/>
  </si>
  <si>
    <t>Mingwei Xu, Qingqing Zhou, Zitong Kan, Shengyan Yin, Yudong Song, Xinjian Shi, Lin Xu, Zhiyong Chang*, Hang Sun*</t>
    <phoneticPr fontId="3" type="noConversion"/>
  </si>
  <si>
    <t>2023, 49(24): 39917-39925</t>
    <phoneticPr fontId="3" type="noConversion"/>
  </si>
  <si>
    <t>徐铭蔚, 周青青, 阚梓铜, 尹升燕, 宋玉东, 师鑫鉴, 徐琳, 常志勇(通讯作者), 孙航</t>
    <phoneticPr fontId="3" type="noConversion"/>
  </si>
  <si>
    <t>Experimental study of the formation and decomposition of mixed gas hydrates in water-hydrocarbon system</t>
    <phoneticPr fontId="3" type="noConversion"/>
  </si>
  <si>
    <t>2023.09.26</t>
    <phoneticPr fontId="3" type="noConversion"/>
  </si>
  <si>
    <t>Shengli Li*, Shijing Zhang, Kai Su, Qiang Liu, Haonan Wu, Zhiyong Chang*</t>
    <phoneticPr fontId="3" type="noConversion"/>
  </si>
  <si>
    <t>双通讯（李胜利第一也是通讯）</t>
    <phoneticPr fontId="3" type="noConversion"/>
  </si>
  <si>
    <t>2023, 475: 146263</t>
    <phoneticPr fontId="3" type="noConversion"/>
  </si>
  <si>
    <t>Study on the kinetic-guided pyrolysis of oil shale kerogen catalyzed by needle-like NiFe-LDH</t>
    <phoneticPr fontId="3" type="noConversion"/>
  </si>
  <si>
    <t>Fuel Processing Technology</t>
    <phoneticPr fontId="3" type="noConversion"/>
  </si>
  <si>
    <t>Fuel Process. Technol.</t>
    <phoneticPr fontId="3" type="noConversion"/>
  </si>
  <si>
    <t>2023.09.20</t>
    <phoneticPr fontId="3" type="noConversion"/>
  </si>
  <si>
    <t>Tianbao Liu, Fei Liu, Weiguang Shi*, Wei Li, Benxian Li, Xiangbin Liu, Xiaofei Fu, Sunhua Deng, Zhiyong Chang*</t>
    <phoneticPr fontId="3" type="noConversion"/>
  </si>
  <si>
    <r>
      <rPr>
        <sz val="10.5"/>
        <color theme="1"/>
        <rFont val="宋体"/>
        <family val="3"/>
        <charset val="134"/>
      </rPr>
      <t>双通讯</t>
    </r>
    <phoneticPr fontId="3" type="noConversion"/>
  </si>
  <si>
    <t>SCI、EI</t>
    <phoneticPr fontId="3" type="noConversion"/>
  </si>
  <si>
    <t>2023, 252: 107954</t>
    <phoneticPr fontId="3" type="noConversion"/>
  </si>
  <si>
    <t>Towards accuracy recognition and content estimation of typical pesticides in groundwater via electronic nose</t>
    <phoneticPr fontId="3" type="noConversion"/>
  </si>
  <si>
    <t>Sens. Actuator A-Phys.</t>
    <phoneticPr fontId="3" type="noConversion"/>
  </si>
  <si>
    <t>2023.09.07</t>
    <phoneticPr fontId="3" type="noConversion"/>
  </si>
  <si>
    <t>Donghui Chen, Bingyang Wang, Tao Zhang, Zhiyong Chang*</t>
    <phoneticPr fontId="3" type="noConversion"/>
  </si>
  <si>
    <t>2023, 362: 114642</t>
    <phoneticPr fontId="3" type="noConversion"/>
  </si>
  <si>
    <r>
      <rPr>
        <sz val="10.5"/>
        <color theme="1"/>
        <rFont val="SimSun"/>
        <family val="3"/>
        <charset val="134"/>
      </rPr>
      <t>陈东辉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王冰洋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张涛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</si>
  <si>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Detection and classification of pesticide residues in dandelion (Taraxacum officinale L.) by electronic nose combined with chemometric approaches</t>
    <phoneticPr fontId="3" type="noConversion"/>
  </si>
  <si>
    <t>International Journal of Agricultural and Biological Engineering</t>
    <phoneticPr fontId="3" type="noConversion"/>
  </si>
  <si>
    <t>2023.09.01</t>
    <phoneticPr fontId="3" type="noConversion"/>
  </si>
  <si>
    <t>Jianlei Qiao, Xinmei Jiang, Xiaohui Weng, Hongbo Cui, Chang Liu*, Yuanjun Zou, Hailing Yu, Yucai Feng*, Zhiyong Chang*</t>
    <phoneticPr fontId="3" type="noConversion"/>
  </si>
  <si>
    <t>2023, 16(5): 181-188</t>
    <phoneticPr fontId="3" type="noConversion"/>
  </si>
  <si>
    <t>Development of electrospun filter with high efficiency to reduce disturbance on gas detection in dusty environments</t>
    <phoneticPr fontId="3" type="noConversion"/>
  </si>
  <si>
    <t>Journal of Applied Polymer Science</t>
    <phoneticPr fontId="3" type="noConversion"/>
  </si>
  <si>
    <t>J. Appl. Polym. Sci.</t>
    <phoneticPr fontId="3" type="noConversion"/>
  </si>
  <si>
    <t>2023.08.15</t>
    <phoneticPr fontId="3" type="noConversion"/>
  </si>
  <si>
    <t>Bo Zhao, Li Guo*, Mingze Han, Yunhong Liang, Mo Li, Shuli Ma, Tianjian Tong, Zhiyong Chang*</t>
    <phoneticPr fontId="3" type="noConversion"/>
  </si>
  <si>
    <t>2023, 140(31): e54113</t>
    <phoneticPr fontId="3" type="noConversion"/>
  </si>
  <si>
    <r>
      <rPr>
        <sz val="10.5"/>
        <color theme="1"/>
        <rFont val="SimSun"/>
        <family val="3"/>
        <charset val="134"/>
      </rPr>
      <t>赵波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郭丽</t>
    </r>
    <r>
      <rPr>
        <sz val="10.5"/>
        <color theme="1"/>
        <rFont val="Times New Roman"/>
        <family val="1"/>
      </rPr>
      <t xml:space="preserve">, 韩明泽, </t>
    </r>
    <r>
      <rPr>
        <sz val="10.5"/>
        <color theme="1"/>
        <rFont val="SimSun"/>
        <family val="3"/>
        <charset val="134"/>
      </rPr>
      <t>梁云虹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李默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马淑丽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佟天剑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</si>
  <si>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Exploring the effect of different secondary building units as lewis acid sites in MOF materials for the CO2 cycloaddition reaction</t>
    <phoneticPr fontId="3" type="noConversion"/>
  </si>
  <si>
    <t>Inorganic Chemistry</t>
    <phoneticPr fontId="3" type="noConversion"/>
  </si>
  <si>
    <t>Inorg. Chem.</t>
    <phoneticPr fontId="3" type="noConversion"/>
  </si>
  <si>
    <t>2023.07.12</t>
    <phoneticPr fontId="3" type="noConversion"/>
  </si>
  <si>
    <t>Xueyue Yu, Jiaming Gu, Xinyao Liu, Zhiyong Chang*, Yunling Liu*</t>
    <phoneticPr fontId="3" type="noConversion"/>
  </si>
  <si>
    <t>2023, 62(29): 11518-11527</t>
    <phoneticPr fontId="3" type="noConversion"/>
  </si>
  <si>
    <t>Hierarchical electronic nose detection and assessment technology for the reusage of land contaminated with petroleum hydrocarbons</t>
    <phoneticPr fontId="3" type="noConversion"/>
  </si>
  <si>
    <t>2023.05.05</t>
    <phoneticPr fontId="3" type="noConversion"/>
  </si>
  <si>
    <t>Xiangyu Luan#, Cheng Kong#, Zongwei Yao, Yang Sun, Zhiyong Chang*</t>
    <phoneticPr fontId="3" type="noConversion"/>
  </si>
  <si>
    <r>
      <t>SCI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EI</t>
    </r>
    <phoneticPr fontId="3" type="noConversion"/>
  </si>
  <si>
    <t>2023, 390: 133940</t>
    <phoneticPr fontId="3" type="noConversion"/>
  </si>
  <si>
    <r>
      <rPr>
        <sz val="10.5"/>
        <color theme="1"/>
        <rFont val="SimSun"/>
        <family val="3"/>
        <charset val="134"/>
      </rPr>
      <t>栾祥宇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孔铖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姚宗伟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孙杨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</si>
  <si>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Improving recognition accuracy of pesticides in groundwater by applying tradaboost transfer learning method</t>
    <phoneticPr fontId="3" type="noConversion"/>
  </si>
  <si>
    <t>2023.04.10</t>
    <phoneticPr fontId="3" type="noConversion"/>
  </si>
  <si>
    <t>Donghui Chen, Bingyang Wang, Xiao Yang, Xiaohui Weng, Zhiyong Chang*</t>
    <phoneticPr fontId="3" type="noConversion"/>
  </si>
  <si>
    <t>2023, 23(8): 3856</t>
    <phoneticPr fontId="3" type="noConversion"/>
  </si>
  <si>
    <r>
      <rPr>
        <sz val="10.5"/>
        <color theme="1"/>
        <rFont val="SimSun"/>
        <family val="3"/>
        <charset val="134"/>
      </rPr>
      <t>陈东辉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王冰洋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杨逍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翁小辉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</si>
  <si>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Development of an electronic nose to characterize water quality parameters and odor concentration of wastewater emitted from different phases in a wastewater treatment plant</t>
    <phoneticPr fontId="3" type="noConversion"/>
  </si>
  <si>
    <t>000959289100001</t>
    <phoneticPr fontId="3" type="noConversion"/>
  </si>
  <si>
    <t>Water Research</t>
    <phoneticPr fontId="3" type="noConversion"/>
  </si>
  <si>
    <t>12.8</t>
    <phoneticPr fontId="3" type="noConversion"/>
  </si>
  <si>
    <t>Water Res.</t>
    <phoneticPr fontId="3" type="noConversion"/>
  </si>
  <si>
    <t>2023.03.15</t>
    <phoneticPr fontId="3" type="noConversion"/>
  </si>
  <si>
    <t>Bingyang Wang#, Xiaodan Li#, Donghui Chen, Xiaohui Weng, Zhiyong Chang*</t>
    <phoneticPr fontId="3" type="noConversion"/>
  </si>
  <si>
    <t>2023, 235: 119878</t>
    <phoneticPr fontId="3" type="noConversion"/>
  </si>
  <si>
    <r>
      <rPr>
        <sz val="10.5"/>
        <color theme="1"/>
        <rFont val="SimSun"/>
        <family val="3"/>
        <charset val="134"/>
      </rPr>
      <t>王冰洋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李晓丹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陈东辉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翁小辉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</si>
  <si>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A two-step e-nose system for vehicle drunk driving rapid detection</t>
    <phoneticPr fontId="3" type="noConversion"/>
  </si>
  <si>
    <t>Applied Sciences-Basel</t>
    <phoneticPr fontId="3" type="noConversion"/>
  </si>
  <si>
    <t>2023.03.09</t>
    <phoneticPr fontId="3" type="noConversion"/>
  </si>
  <si>
    <t>Fangrong Wang, Dongsheng Bai, Zhaoyang Liu, Zongwei Yao, Xiaohui Weng*, Conghao Xu, Kaidi Fan, Zihan Zhao, Zhiyong Chang*.</t>
    <phoneticPr fontId="3" type="noConversion"/>
  </si>
  <si>
    <t>2023, 13: 3478</t>
    <phoneticPr fontId="3" type="noConversion"/>
  </si>
  <si>
    <r>
      <rPr>
        <sz val="10.5"/>
        <color theme="1"/>
        <rFont val="SimSun"/>
        <family val="3"/>
        <charset val="134"/>
      </rPr>
      <t>王芳荣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白东升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刘朝阳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姚宗伟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翁小辉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徐丛皓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樊凯迪</t>
    </r>
    <r>
      <rPr>
        <sz val="10.5"/>
        <color theme="1"/>
        <rFont val="Times New Roman"/>
        <family val="1"/>
      </rPr>
      <t xml:space="preserve">,  </t>
    </r>
    <r>
      <rPr>
        <sz val="10.5"/>
        <color theme="1"/>
        <rFont val="SimSun"/>
        <family val="3"/>
        <charset val="134"/>
      </rPr>
      <t>赵子涵</t>
    </r>
    <r>
      <rPr>
        <sz val="10.5"/>
        <color theme="1"/>
        <rFont val="Times New Roman"/>
        <family val="1"/>
      </rPr>
      <t>, 常志勇(通讯作者)</t>
    </r>
    <phoneticPr fontId="3" type="noConversion"/>
  </si>
  <si>
    <t>Recognition of oil content for oil shale by electronic nose based on transient and steady-state fusion feature extraction method</t>
    <phoneticPr fontId="3" type="noConversion"/>
  </si>
  <si>
    <t>000965148700001</t>
    <phoneticPr fontId="3" type="noConversion"/>
  </si>
  <si>
    <t>IEEE Sensors Journal</t>
    <phoneticPr fontId="3" type="noConversion"/>
  </si>
  <si>
    <t>2023.02.15</t>
    <phoneticPr fontId="3" type="noConversion"/>
  </si>
  <si>
    <t>Lili Ren, Cheng Kong, Xiaohui Weng, Rongsheng Zhao, Zongwei Yao*, Zhiyong Chang*</t>
    <phoneticPr fontId="3" type="noConversion"/>
  </si>
  <si>
    <t>2023, 23(4): 3453-3461</t>
    <phoneticPr fontId="3" type="noConversion"/>
  </si>
  <si>
    <r>
      <rPr>
        <sz val="10.5"/>
        <color theme="1"/>
        <rFont val="SimSun"/>
        <family val="3"/>
        <charset val="134"/>
      </rPr>
      <t>任丽丽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孔铖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翁小辉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赵荣生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姚宗伟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常志勇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SimSun"/>
        <family val="3"/>
        <charset val="134"/>
      </rPr>
      <t>通讯作者</t>
    </r>
    <r>
      <rPr>
        <sz val="10.5"/>
        <color theme="1"/>
        <rFont val="Times New Roman"/>
        <family val="1"/>
      </rPr>
      <t>)</t>
    </r>
    <phoneticPr fontId="3" type="noConversion"/>
  </si>
  <si>
    <t>A preliminary screening system for diabetes based on in-car electronic nose</t>
    <phoneticPr fontId="3" type="noConversion"/>
  </si>
  <si>
    <t>Endocrine Connections</t>
    <phoneticPr fontId="3" type="noConversion"/>
  </si>
  <si>
    <t>2023.01.01</t>
    <phoneticPr fontId="3" type="noConversion"/>
  </si>
  <si>
    <t>Xiaohui Weng, Gehong Li, Ziwei Liu, Rui Liu*, Zhaoyang Liu, Songyang Wang, Shishun Zhao, Xiaotong Ma, Zhiyong Chang*</t>
    <phoneticPr fontId="3" type="noConversion"/>
  </si>
  <si>
    <t>2023, 12: e220437</t>
    <phoneticPr fontId="3" type="noConversion"/>
  </si>
  <si>
    <r>
      <rPr>
        <sz val="10.5"/>
        <color theme="1"/>
        <rFont val="SimSun"/>
        <family val="3"/>
        <charset val="134"/>
      </rPr>
      <t>翁小辉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李革红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刘子维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刘锐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刘朝阳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王颂阳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赵世舜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马晓彤</t>
    </r>
    <r>
      <rPr>
        <sz val="10.5"/>
        <color theme="1"/>
        <rFont val="Times New Roman"/>
        <family val="1"/>
      </rPr>
      <t>, 常志勇(通讯作者)</t>
    </r>
    <phoneticPr fontId="3" type="noConversion"/>
  </si>
  <si>
    <t>A bionic degassing device inspired by gills: application on underwater oil and gas detection</t>
    <phoneticPr fontId="3" type="noConversion"/>
  </si>
  <si>
    <t>000855209500001</t>
    <phoneticPr fontId="3" type="noConversion"/>
  </si>
  <si>
    <t>Journal of Bionic Engineering</t>
    <phoneticPr fontId="3" type="noConversion"/>
  </si>
  <si>
    <t>Yongming Yao, Hang Li, Youhong Sun, Zhiyong Chang*</t>
    <phoneticPr fontId="3" type="noConversion"/>
  </si>
  <si>
    <t>2023, 20(1): 253-266</t>
    <phoneticPr fontId="3" type="noConversion"/>
  </si>
  <si>
    <t>姚永明, 李航, 孙友宏, 常志勇(通讯作者)</t>
    <phoneticPr fontId="3" type="noConversion"/>
  </si>
  <si>
    <t>Design and optimization of electronic nose sensor array for real-time and rapid detection of vehicle exhaust pollutants</t>
    <phoneticPr fontId="3" type="noConversion"/>
  </si>
  <si>
    <t>Chemosensors</t>
    <phoneticPr fontId="3" type="noConversion"/>
  </si>
  <si>
    <t>2022.11.22</t>
    <phoneticPr fontId="3" type="noConversion"/>
  </si>
  <si>
    <t>Jin Tong, Chengxin Song, Tianjian Tong, Xuanjie Zong, Zhaoyang Liu, Songyang Wang, Lidong Tan, Yinwu Li*, Zhiyong Chang*</t>
    <phoneticPr fontId="3" type="noConversion"/>
  </si>
  <si>
    <t>2022, 10, 496</t>
    <phoneticPr fontId="3" type="noConversion"/>
  </si>
  <si>
    <t>Model development for alcohol concentration in exhaled air at low temperature using electronic nose</t>
    <phoneticPr fontId="3" type="noConversion"/>
  </si>
  <si>
    <t>2022.09.19</t>
    <phoneticPr fontId="3" type="noConversion"/>
  </si>
  <si>
    <t>Lidong Tan, Jiexi Wang, Guiyou Liang*, Zongwei Yao, Xiaohui Weng, Fangrong Wang, Zhiyong Chang*</t>
    <phoneticPr fontId="3" type="noConversion"/>
  </si>
  <si>
    <t>2022, 10, 375</t>
    <phoneticPr fontId="3" type="noConversion"/>
  </si>
  <si>
    <r>
      <rPr>
        <sz val="10.5"/>
        <color theme="1"/>
        <rFont val="SimSun"/>
        <family val="3"/>
        <charset val="134"/>
      </rPr>
      <t>佟金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宋成鑫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佟天剑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宗宣洁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刘朝阳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王颂阳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谭立东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SimSun"/>
        <family val="3"/>
        <charset val="134"/>
      </rPr>
      <t>李因武</t>
    </r>
    <r>
      <rPr>
        <sz val="10.5"/>
        <color theme="1"/>
        <rFont val="Times New Roman"/>
        <family val="1"/>
      </rPr>
      <t>, 常志勇(通讯作者)</t>
    </r>
    <phoneticPr fontId="3" type="noConversion"/>
  </si>
  <si>
    <t>Development trend of electronic nose technology in closed cabins gas detection: a review</t>
    <phoneticPr fontId="3" type="noConversion"/>
  </si>
  <si>
    <t>2022.09.17</t>
    <phoneticPr fontId="3" type="noConversion"/>
  </si>
  <si>
    <t>Lidong Tan, Zhaohui Feng, Hongli Zheng*, Zongwei Yao, Xiaohui Weng, Fangrong Wang, Zhiyong Chang*.</t>
    <phoneticPr fontId="3" type="noConversion"/>
  </si>
  <si>
    <t>2022, 12, 9326</t>
    <phoneticPr fontId="3" type="noConversion"/>
  </si>
  <si>
    <t>Diverse scenarios selective perception of H2S via cobalt sensitized MOF filter membrane coated Three-Dimensional metal oxide sensor</t>
    <phoneticPr fontId="3" type="noConversion"/>
  </si>
  <si>
    <t>000830814100003</t>
    <phoneticPr fontId="3" type="noConversion"/>
  </si>
  <si>
    <t>Chem. Eng. J.</t>
    <phoneticPr fontId="3" type="noConversion"/>
  </si>
  <si>
    <t>2022.07.09</t>
    <phoneticPr fontId="3" type="noConversion"/>
  </si>
  <si>
    <t>Qingqing Zhou, Long Yang, Zitong Kan, Jiekai Lyu, Mingxuan Wang, Biao Dong, Xue Bai, Zhiyong Chang*, Hongwei Song*, Lin Xu*</t>
    <phoneticPr fontId="3" type="noConversion"/>
  </si>
  <si>
    <r>
      <rPr>
        <sz val="10.5"/>
        <color theme="1"/>
        <rFont val="宋体"/>
        <family val="3"/>
        <charset val="134"/>
      </rPr>
      <t>三通讯</t>
    </r>
    <phoneticPr fontId="3" type="noConversion"/>
  </si>
  <si>
    <t>2022, 450, 138014</t>
    <phoneticPr fontId="3" type="noConversion"/>
  </si>
  <si>
    <r>
      <rPr>
        <sz val="10.5"/>
        <color theme="1"/>
        <rFont val="宋体"/>
        <family val="3"/>
        <charset val="134"/>
      </rPr>
      <t>杨龙</t>
    </r>
    <r>
      <rPr>
        <sz val="10.5"/>
        <color theme="1"/>
        <rFont val="Times New Roman"/>
        <family val="1"/>
      </rPr>
      <t xml:space="preserve">   </t>
    </r>
    <r>
      <rPr>
        <sz val="10.5"/>
        <color theme="1"/>
        <rFont val="宋体"/>
        <family val="3"/>
        <charset val="134"/>
      </rPr>
      <t>阚梓铜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>吕杰凯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>王茗玄</t>
    </r>
    <r>
      <rPr>
        <sz val="10.5"/>
        <color theme="1"/>
        <rFont val="Times New Roman"/>
        <family val="1"/>
      </rPr>
      <t xml:space="preserve"> </t>
    </r>
    <phoneticPr fontId="3" type="noConversion"/>
  </si>
  <si>
    <r>
      <rPr>
        <sz val="10.5"/>
        <color theme="1"/>
        <rFont val="宋体"/>
        <family val="3"/>
        <charset val="134"/>
      </rPr>
      <t>检测限：实际检测</t>
    </r>
    <r>
      <rPr>
        <sz val="10.5"/>
        <color theme="1"/>
        <rFont val="Times New Roman"/>
        <family val="1"/>
      </rPr>
      <t>500ppb</t>
    </r>
    <r>
      <rPr>
        <sz val="10.5"/>
        <color theme="1"/>
        <rFont val="宋体"/>
        <family val="3"/>
        <charset val="134"/>
      </rPr>
      <t>，理论计算</t>
    </r>
    <r>
      <rPr>
        <sz val="10.5"/>
        <color theme="1"/>
        <rFont val="Times New Roman"/>
        <family val="1"/>
      </rPr>
      <t>70ppb</t>
    </r>
    <r>
      <rPr>
        <sz val="10.5"/>
        <color theme="1"/>
        <rFont val="Times New Roman"/>
        <family val="3"/>
        <charset val="134"/>
      </rPr>
      <t xml:space="preserve">
</t>
    </r>
    <r>
      <rPr>
        <sz val="10.5"/>
        <color theme="1"/>
        <rFont val="SimSun"/>
        <family val="3"/>
        <charset val="134"/>
      </rPr>
      <t>对</t>
    </r>
    <r>
      <rPr>
        <sz val="10.5"/>
        <color theme="1"/>
        <rFont val="Times New Roman"/>
        <family val="1"/>
      </rPr>
      <t>H2S</t>
    </r>
    <r>
      <rPr>
        <sz val="10.5"/>
        <color theme="1"/>
        <rFont val="SimSun"/>
        <family val="3"/>
        <charset val="134"/>
      </rPr>
      <t>的选择性提高了</t>
    </r>
    <r>
      <rPr>
        <sz val="10.5"/>
        <color theme="1"/>
        <rFont val="Times New Roman"/>
        <family val="1"/>
      </rPr>
      <t>130</t>
    </r>
    <r>
      <rPr>
        <sz val="10.5"/>
        <color theme="1"/>
        <rFont val="SimSun"/>
        <family val="3"/>
        <charset val="134"/>
      </rPr>
      <t>倍（干扰气包括：丙酮、甲醛、甲苯、甲醇、三甲胺、二氧化氮、氨气），对</t>
    </r>
    <r>
      <rPr>
        <sz val="10.5"/>
        <color theme="1"/>
        <rFont val="Times New Roman"/>
        <family val="1"/>
      </rPr>
      <t>5.5 ppm H2S</t>
    </r>
    <r>
      <rPr>
        <sz val="10.5"/>
        <color theme="1"/>
        <rFont val="SimSun"/>
        <family val="3"/>
        <charset val="134"/>
      </rPr>
      <t>气体高达</t>
    </r>
    <r>
      <rPr>
        <sz val="10.5"/>
        <color theme="1"/>
        <rFont val="Times New Roman"/>
        <family val="1"/>
      </rPr>
      <t>Ra/Rg=118</t>
    </r>
    <r>
      <rPr>
        <sz val="10.5"/>
        <color theme="1"/>
        <rFont val="SimSun"/>
        <family val="3"/>
        <charset val="134"/>
      </rPr>
      <t>的响应</t>
    </r>
    <phoneticPr fontId="3" type="noConversion"/>
  </si>
  <si>
    <t>Investigation and optimization of PDMS/PES membrane on morphology and performance for methane-water separation</t>
    <phoneticPr fontId="3" type="noConversion"/>
  </si>
  <si>
    <t>000852330700002</t>
    <phoneticPr fontId="3" type="noConversion"/>
  </si>
  <si>
    <t>Microporous and Mesoporous Materials</t>
    <phoneticPr fontId="3" type="noConversion"/>
  </si>
  <si>
    <t>2022.06.18</t>
    <phoneticPr fontId="3" type="noConversion"/>
  </si>
  <si>
    <t>Guolong Lu, Hao Cui, Xiaohui Weng, Youhong Sun*, Zhiyong Chang*</t>
    <phoneticPr fontId="3" type="noConversion"/>
  </si>
  <si>
    <t>2022, 341, 112078</t>
    <phoneticPr fontId="3" type="noConversion"/>
  </si>
  <si>
    <t>A two-stage framework for detection of pesticide residues in soil based on gas sensors</t>
    <phoneticPr fontId="3" type="noConversion"/>
  </si>
  <si>
    <t>Chinese Journal of Analytical Chemistry</t>
    <phoneticPr fontId="3" type="noConversion"/>
  </si>
  <si>
    <t>Chin. J. Anal. Chem.</t>
    <phoneticPr fontId="3" type="noConversion"/>
  </si>
  <si>
    <t>2022.05.16</t>
    <phoneticPr fontId="3" type="noConversion"/>
  </si>
  <si>
    <t>Xiaohu Shi, Yuheng Qiao, Xiangyu Luan, Yuping Yuan, Lin Xu, Zhiyong Chang*</t>
    <phoneticPr fontId="3" type="noConversion"/>
  </si>
  <si>
    <t>2022, 50(11): 100124</t>
    <phoneticPr fontId="3" type="noConversion"/>
  </si>
  <si>
    <t>Inspired by tree frog: bionic design of tread pattern and its wet friction properties</t>
    <phoneticPr fontId="3" type="noConversion"/>
  </si>
  <si>
    <t>2022.04.27</t>
    <phoneticPr fontId="3" type="noConversion"/>
  </si>
  <si>
    <t>Donghui Chen, Xiao Yang, Menghua Zhong, Chong Chen, Lihui Wang, Jingchun Wang, Xiaohui Weng*, Yinwu Li, Zhiyong Chang*</t>
    <phoneticPr fontId="3" type="noConversion"/>
  </si>
  <si>
    <t>2022, 19: 1064-1076</t>
    <phoneticPr fontId="3" type="noConversion"/>
  </si>
  <si>
    <t>Real-time monitoring of the oil shale pyrolysis process using a bionic electronic nose</t>
    <phoneticPr fontId="3" type="noConversion"/>
  </si>
  <si>
    <t>000747410100007</t>
    <phoneticPr fontId="3" type="noConversion"/>
  </si>
  <si>
    <t>Fuel</t>
    <phoneticPr fontId="3" type="noConversion"/>
  </si>
  <si>
    <t>2022.04.01</t>
    <phoneticPr fontId="3" type="noConversion"/>
  </si>
  <si>
    <t>Rongsheng Zhao, Cheng Kong, Luquan Ren, Youhong Sun, Zhiyong Chang</t>
    <phoneticPr fontId="3" type="noConversion"/>
  </si>
  <si>
    <t xml:space="preserve">2022, 313: 122672
</t>
    <phoneticPr fontId="3" type="noConversion"/>
  </si>
  <si>
    <t>A multi-platform sensor for selective and sensitive H2S monitoring: three-dimensional macroporous ZnO encapsulated by MOFs with small Pt nanoparticles</t>
    <phoneticPr fontId="3" type="noConversion"/>
  </si>
  <si>
    <t>000752473200002</t>
    <phoneticPr fontId="3" type="noConversion"/>
  </si>
  <si>
    <t>Journal of Hazardous Materials</t>
    <phoneticPr fontId="3" type="noConversion"/>
  </si>
  <si>
    <t>J. Hazard. Mater.</t>
    <phoneticPr fontId="3" type="noConversion"/>
  </si>
  <si>
    <t>2022.03.15</t>
    <phoneticPr fontId="3" type="noConversion"/>
  </si>
  <si>
    <t>Qingqing Zhou, Lin Xu*, Zitong Kan, Long Yang, Zhiyong Chang*, Biao Dong, Xue Bai, Geyu Lu, Hongwei Song</t>
    <phoneticPr fontId="3" type="noConversion"/>
  </si>
  <si>
    <t>2022, 426: 128075</t>
    <phoneticPr fontId="3" type="noConversion"/>
  </si>
  <si>
    <r>
      <rPr>
        <sz val="10.5"/>
        <color theme="1"/>
        <rFont val="宋体"/>
        <family val="3"/>
        <charset val="134"/>
      </rPr>
      <t>检测限：实际检测</t>
    </r>
    <r>
      <rPr>
        <sz val="10.5"/>
        <color theme="1"/>
        <rFont val="Times New Roman"/>
        <family val="1"/>
      </rPr>
      <t>200ppb</t>
    </r>
    <r>
      <rPr>
        <sz val="10.5"/>
        <color theme="1"/>
        <rFont val="宋体"/>
        <family val="3"/>
        <charset val="134"/>
      </rPr>
      <t>，理论计算</t>
    </r>
    <r>
      <rPr>
        <sz val="10.5"/>
        <color theme="1"/>
        <rFont val="Times New Roman"/>
        <family val="1"/>
      </rPr>
      <t>40ppb
对H2S的选择性提高了59倍（干扰气包括：甲苯、乙醇、丙酮、甲醇、甲醛、氨水、氨气、三甲胺、二甲基甲酰胺、二甲基亚砜、甲胺、三乙胺和1-十二烷硫醇）</t>
    </r>
    <phoneticPr fontId="3" type="noConversion"/>
  </si>
  <si>
    <t>Constrain on oil recovery stage during oil shale subcritical water extraction process based on carbon isotope fractionation character</t>
    <phoneticPr fontId="3" type="noConversion"/>
  </si>
  <si>
    <t>Energies</t>
    <phoneticPr fontId="3" type="noConversion"/>
  </si>
  <si>
    <t>2021.11.23</t>
    <phoneticPr fontId="3" type="noConversion"/>
  </si>
  <si>
    <t>Rongsheng Zhao,Luquan Ren,Sunhua Deng,Youhong Sun*, Zhiyong Chang*</t>
    <phoneticPr fontId="3" type="noConversion"/>
  </si>
  <si>
    <t>2021, 14(23), 7839;</t>
    <phoneticPr fontId="3" type="noConversion"/>
  </si>
  <si>
    <t>Bionic layout optimization of sensor array in electronic nose for oil shale pyrolysis process detection</t>
    <phoneticPr fontId="3" type="noConversion"/>
  </si>
  <si>
    <t>000633442400015</t>
    <phoneticPr fontId="3" type="noConversion"/>
  </si>
  <si>
    <t>2021.03.27</t>
    <phoneticPr fontId="3" type="noConversion"/>
  </si>
  <si>
    <t>Xiaohui Weng, Youhong Sun, Jun Xie, Sunhua Deng, Zhiyong Chang*</t>
    <phoneticPr fontId="3" type="noConversion"/>
  </si>
  <si>
    <r>
      <t>SCI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EI</t>
    </r>
  </si>
  <si>
    <r>
      <t>2021, 18(2)</t>
    </r>
    <r>
      <rPr>
        <sz val="10.5"/>
        <color theme="1"/>
        <rFont val="宋体"/>
        <family val="3"/>
        <charset val="134"/>
      </rPr>
      <t xml:space="preserve">: </t>
    </r>
    <r>
      <rPr>
        <sz val="10.5"/>
        <color theme="1"/>
        <rFont val="Times New Roman"/>
        <family val="1"/>
      </rPr>
      <t>441-452</t>
    </r>
    <phoneticPr fontId="3" type="noConversion"/>
  </si>
  <si>
    <t>Detection of volatile organic compounds (VOCs) in livestock houses based on electronic nose</t>
    <phoneticPr fontId="3" type="noConversion"/>
  </si>
  <si>
    <t>Applied Sciences</t>
    <phoneticPr fontId="3" type="noConversion"/>
  </si>
  <si>
    <t>Appl. Sci.</t>
    <phoneticPr fontId="3" type="noConversion"/>
  </si>
  <si>
    <t>2021.03.06</t>
    <phoneticPr fontId="3" type="noConversion"/>
  </si>
  <si>
    <t>Xiaohui Weng, Cheng Kong, Hongyang Jin, Dongxue Chen, Chunguang Li*, Yinwu Li, Lili Ren, Yingkui Xiao, Zhiyong Chang*</t>
    <phoneticPr fontId="3" type="noConversion"/>
  </si>
  <si>
    <t>SCI</t>
    <phoneticPr fontId="3" type="noConversion"/>
  </si>
  <si>
    <t>2021, 11(5): 2337</t>
  </si>
  <si>
    <r>
      <rPr>
        <sz val="10.5"/>
        <color theme="1"/>
        <rFont val="宋体"/>
        <family val="3"/>
        <charset val="134"/>
      </rPr>
      <t>检测限</t>
    </r>
    <r>
      <rPr>
        <sz val="10.5"/>
        <color theme="1"/>
        <rFont val="Times New Roman"/>
        <family val="1"/>
      </rPr>
      <t>13ppb</t>
    </r>
    <phoneticPr fontId="3" type="noConversion"/>
  </si>
  <si>
    <t>Near-infrared off-axis integrated cavity output spectroscopic gas sensor for real-time, in situ atmospheric methane monitoring</t>
    <phoneticPr fontId="3" type="noConversion"/>
  </si>
  <si>
    <t>IEEE Sens. J.</t>
    <phoneticPr fontId="3" type="noConversion"/>
  </si>
  <si>
    <t>2021.03.01</t>
    <phoneticPr fontId="3" type="noConversion"/>
  </si>
  <si>
    <t>Kaiyuan Zheng, Chuantao Zheng*, Haipeng Zhang, Junhao Li, Zidi Liu, Zhiyong Chang*, Yu Zhang, Yiding Wang, Frank K. Tittel</t>
    <phoneticPr fontId="3" type="noConversion"/>
  </si>
  <si>
    <t>2021, 21(5): 6830-6838</t>
    <phoneticPr fontId="3" type="noConversion"/>
  </si>
  <si>
    <t>Traditional sensory evaluation and bionic electronic nose as innovative tools for the packaging performance evaluation of chitosan film</t>
    <phoneticPr fontId="3" type="noConversion"/>
  </si>
  <si>
    <t>Polymers</t>
    <phoneticPr fontId="3" type="noConversion"/>
  </si>
  <si>
    <t>2020.11.09</t>
    <phoneticPr fontId="3" type="noConversion"/>
  </si>
  <si>
    <t>Wei Song, Jian Xu, Lili Ren*, Li Guo, Jin Tong, Liyan Wang, Zhiyong Chang*</t>
    <phoneticPr fontId="3" type="noConversion"/>
  </si>
  <si>
    <t>2020, 12(10): 2310.</t>
    <phoneticPr fontId="3" type="noConversion"/>
  </si>
  <si>
    <t>A comprehensive method for assessing meat freshness using fusing electronic nose, computer vision and artificial tactile technologies</t>
    <phoneticPr fontId="3" type="noConversion"/>
  </si>
  <si>
    <t>Journal of Sensors</t>
    <phoneticPr fontId="3" type="noConversion"/>
  </si>
  <si>
    <t>2020.09.21</t>
  </si>
  <si>
    <t>Xiaohui Weng, Xiangyu Luan, Cheng Kong, Zhiyong Chang*, Yinwu Li, Shujun Zhang*, Salah Al-Majeed, Yingkui Xiao</t>
    <phoneticPr fontId="3" type="noConversion"/>
  </si>
  <si>
    <r>
      <rPr>
        <sz val="10.5"/>
        <color theme="1"/>
        <rFont val="宋体"/>
        <family val="3"/>
        <charset val="134"/>
      </rPr>
      <t>通讯</t>
    </r>
  </si>
  <si>
    <t>SCI</t>
  </si>
  <si>
    <t>2020: 8838535</t>
    <phoneticPr fontId="3" type="noConversion"/>
  </si>
  <si>
    <t>Bionic Design to Reduce Jacking Force for Trenchless Installations in Clay Soil</t>
    <phoneticPr fontId="3" type="noConversion"/>
  </si>
  <si>
    <t>2020.07.01</t>
  </si>
  <si>
    <t>Donghui Chen, Xiao Yang, Taidong Dai, Youhong Sun, Zhiyong Chang*</t>
    <phoneticPr fontId="3" type="noConversion"/>
  </si>
  <si>
    <r>
      <rPr>
        <sz val="10.5"/>
        <color theme="1"/>
        <rFont val="宋体"/>
        <family val="3"/>
        <charset val="134"/>
      </rPr>
      <t>卷</t>
    </r>
    <r>
      <rPr>
        <sz val="10.5"/>
        <color theme="1"/>
        <rFont val="Times New Roman"/>
        <family val="1"/>
      </rPr>
      <t>: ‏ 17   </t>
    </r>
    <r>
      <rPr>
        <sz val="10.5"/>
        <color theme="1"/>
        <rFont val="宋体"/>
        <family val="3"/>
        <charset val="134"/>
      </rPr>
      <t>期</t>
    </r>
    <r>
      <rPr>
        <sz val="10.5"/>
        <color theme="1"/>
        <rFont val="Times New Roman"/>
        <family val="1"/>
      </rPr>
      <t>: ‏ 4   </t>
    </r>
    <r>
      <rPr>
        <sz val="10.5"/>
        <color theme="1"/>
        <rFont val="宋体"/>
        <family val="3"/>
        <charset val="134"/>
      </rPr>
      <t>页</t>
    </r>
    <r>
      <rPr>
        <sz val="10.5"/>
        <color theme="1"/>
        <rFont val="Times New Roman"/>
        <family val="1"/>
      </rPr>
      <t>: ‏ 686-694</t>
    </r>
  </si>
  <si>
    <t>Bio-inspired design and evaluation of porous fences for mitigating fugitive dust</t>
  </si>
  <si>
    <t>Journal of Bionic Engineering</t>
  </si>
  <si>
    <t>2020.03.01</t>
  </si>
  <si>
    <t>Li Guo, Dongsen Zhao, Bo Zhao, Jin Li, Jin Tong, Yunhai Ma, Zhiyong Chang*.</t>
  </si>
  <si>
    <t>2020, 17(2): 370-379</t>
  </si>
  <si>
    <t>Bio-inspired hierarchical assembly of Au/ZnO decorated carbonized spinach leaves with enhanced photocatalysis performance</t>
    <phoneticPr fontId="3" type="noConversion"/>
  </si>
  <si>
    <t>000523555300015</t>
    <phoneticPr fontId="3" type="noConversion"/>
  </si>
  <si>
    <t>Journal of Alloys and Compounds</t>
    <phoneticPr fontId="3" type="noConversion"/>
  </si>
  <si>
    <t>J. Alloys Compd.</t>
    <phoneticPr fontId="3" type="noConversion"/>
  </si>
  <si>
    <t>2020.07.15</t>
  </si>
  <si>
    <t>ZhenQin, Hang Sun*, Yanan Tang, Zhiyong Chang*, Shengyan Yin, Zhenning Liu</t>
    <phoneticPr fontId="3" type="noConversion"/>
  </si>
  <si>
    <r>
      <rPr>
        <sz val="10.5"/>
        <color theme="1"/>
        <rFont val="宋体"/>
        <family val="3"/>
        <charset val="134"/>
      </rPr>
      <t>双通讯</t>
    </r>
  </si>
  <si>
    <r>
      <t xml:space="preserve">Volume 829, 15 July 2020, </t>
    </r>
    <r>
      <rPr>
        <sz val="11"/>
        <color theme="1"/>
        <rFont val="宋体"/>
        <family val="3"/>
        <charset val="134"/>
      </rPr>
      <t>论文编号</t>
    </r>
    <r>
      <rPr>
        <sz val="11"/>
        <color theme="1"/>
        <rFont val="Times New Roman"/>
        <family val="1"/>
      </rPr>
      <t> 154393</t>
    </r>
    <phoneticPr fontId="3" type="noConversion"/>
  </si>
  <si>
    <t>Sensitive chemical sensor array based on nanozymes for discrimination of metal ions and teas</t>
  </si>
  <si>
    <t>Luminescence</t>
  </si>
  <si>
    <t>Jiao Li, Qi Cheng, Hui Huang*, Meini Li, Shujun Yan, Yongxin Li*, Zhiyong Chang*</t>
    <phoneticPr fontId="3" type="noConversion"/>
  </si>
  <si>
    <r>
      <rPr>
        <sz val="11"/>
        <color theme="1"/>
        <rFont val="宋体"/>
        <family val="3"/>
        <charset val="134"/>
      </rPr>
      <t>通讯</t>
    </r>
  </si>
  <si>
    <t>Volume 35, Issue 2, 1 March 2020, Pages 321-327</t>
  </si>
  <si>
    <t>Hyperspectral Band Selection for Lithologic Discrimination and Geological Mapping</t>
    <phoneticPr fontId="3" type="noConversion"/>
  </si>
  <si>
    <t>IEEE Journal of Selected Topics in Applied Earth Observations and Remote Sensing</t>
    <phoneticPr fontId="3" type="noConversion"/>
  </si>
  <si>
    <t>IEEE J. Sel. Top. Appl. Earth Observ. Remote Sens.</t>
  </si>
  <si>
    <t>2020.01.22</t>
  </si>
  <si>
    <t>Yulei Tan, Laijun Lu, Lorenzo Bruzzone, Renchu Guan, Zhiyong Chang*, Chen Yang*.</t>
    <phoneticPr fontId="3" type="noConversion"/>
  </si>
  <si>
    <r>
      <t xml:space="preserve">Volume 13, 2020, </t>
    </r>
    <r>
      <rPr>
        <sz val="11"/>
        <color theme="1"/>
        <rFont val="宋体"/>
        <family val="3"/>
        <charset val="134"/>
      </rPr>
      <t>论文编号</t>
    </r>
    <r>
      <rPr>
        <sz val="11"/>
        <color theme="1"/>
        <rFont val="Times New Roman"/>
        <family val="1"/>
      </rPr>
      <t> 8966510, Pages 471-486</t>
    </r>
    <phoneticPr fontId="3" type="noConversion"/>
  </si>
  <si>
    <t>Hydrophobic nanostructures fabricated by ferric nitrate etching method on single crystalline silicon surface</t>
    <phoneticPr fontId="3" type="noConversion"/>
  </si>
  <si>
    <t>Colloids and Surfaces A: Physicochemical and Engineering Aspects</t>
    <phoneticPr fontId="3" type="noConversion"/>
  </si>
  <si>
    <t>Colloid Surf. A-Physicochem. Eng. Asp.</t>
  </si>
  <si>
    <t>2019.12.20</t>
  </si>
  <si>
    <t>Zhiyong Chang,Youhong Sun*,Jian Xu,Xuanjie Zong,Qiongqiong Tang,Li Guo,Lili Ren*,Wen-Hsing Cheng</t>
    <phoneticPr fontId="3" type="noConversion"/>
  </si>
  <si>
    <r>
      <rPr>
        <sz val="11"/>
        <color theme="1"/>
        <rFont val="宋体"/>
        <family val="3"/>
        <charset val="134"/>
      </rPr>
      <t>一作</t>
    </r>
  </si>
  <si>
    <r>
      <t>SCI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EI</t>
    </r>
  </si>
  <si>
    <r>
      <rPr>
        <sz val="11"/>
        <color theme="1"/>
        <rFont val="宋体"/>
        <family val="3"/>
        <charset val="134"/>
      </rPr>
      <t>卷</t>
    </r>
    <r>
      <rPr>
        <sz val="11"/>
        <color theme="1"/>
        <rFont val="Times New Roman"/>
        <family val="1"/>
      </rPr>
      <t xml:space="preserve">: 583 </t>
    </r>
    <r>
      <rPr>
        <sz val="11"/>
        <color theme="1"/>
        <rFont val="宋体"/>
        <family val="3"/>
        <charset val="134"/>
      </rPr>
      <t>文献号</t>
    </r>
    <r>
      <rPr>
        <sz val="11"/>
        <color theme="1"/>
        <rFont val="Times New Roman"/>
        <family val="1"/>
      </rPr>
      <t xml:space="preserve">: 123999 </t>
    </r>
    <r>
      <rPr>
        <sz val="11"/>
        <color theme="1"/>
        <rFont val="宋体"/>
        <family val="3"/>
        <charset val="134"/>
      </rPr>
      <t>出版年</t>
    </r>
    <r>
      <rPr>
        <sz val="11"/>
        <color theme="1"/>
        <rFont val="Times New Roman"/>
        <family val="1"/>
      </rPr>
      <t>: DEC 20 2019</t>
    </r>
  </si>
  <si>
    <t>Preparation and characterization of porous chitosan microspheres and adsorption performance for hexavalent chromium</t>
    <phoneticPr fontId="3" type="noConversion"/>
  </si>
  <si>
    <t>000477691600098</t>
    <phoneticPr fontId="3" type="noConversion"/>
  </si>
  <si>
    <t>International Journal of Biological Macromolecules</t>
    <phoneticPr fontId="3" type="noConversion"/>
  </si>
  <si>
    <t>Int. J. Biol. Macromol.</t>
    <phoneticPr fontId="3" type="noConversion"/>
  </si>
  <si>
    <t>2019.08.15</t>
    <phoneticPr fontId="3" type="noConversion"/>
  </si>
  <si>
    <t>Lili Ren, Jian Xu, Yuchen Zhang, Jiang Zhou, Donghui Chen, Zhiyong Chang*</t>
    <phoneticPr fontId="3" type="noConversion"/>
  </si>
  <si>
    <r>
      <rPr>
        <sz val="11"/>
        <color theme="1"/>
        <rFont val="宋体"/>
        <family val="3"/>
        <charset val="134"/>
      </rPr>
      <t>通信</t>
    </r>
  </si>
  <si>
    <t>Volume 135, 15 August 2019, Pages 898-906</t>
    <phoneticPr fontId="3" type="noConversion"/>
  </si>
  <si>
    <t>Experimental investigation of vegetative environment buffers in reducing particulate matters emitted from ventilated poultry house</t>
  </si>
  <si>
    <t>Journal of the Air and Waste Management Association</t>
  </si>
  <si>
    <t>J. Air Waste Manage. Assoc.</t>
    <phoneticPr fontId="3" type="noConversion"/>
  </si>
  <si>
    <t>2019.08.03</t>
  </si>
  <si>
    <t>Guo Li, Ma Shuli, Zhao Dongsen,Zhao, Bo; Xu, Bingfang; Wu, Jiwen; Tong, Jin; Chen Donghui, Ma Yunhai, Li Mo; Chang Zhiyong*</t>
    <phoneticPr fontId="3" type="noConversion"/>
  </si>
  <si>
    <t>Volume 69, Issue 8, 3 August 2019, Pages 934-943</t>
  </si>
  <si>
    <t>FEM analysis in excellent cushion characteristic of ostrich (Struthio camelus) toe pads</t>
  </si>
  <si>
    <t>PLoS ONE</t>
  </si>
  <si>
    <t>PLoS One</t>
  </si>
  <si>
    <t>2019.05.01</t>
  </si>
  <si>
    <t>Rui Zhang*  , Lei Ling , Dianlei Han , Haitao Wang , Guolong Yu , Lei Jiang , Dong Li , Zhiyong Chang*</t>
    <phoneticPr fontId="3" type="noConversion"/>
  </si>
  <si>
    <t>Volume 14, Issue 5, May 2019</t>
  </si>
  <si>
    <t>Weighted Summation: Feature Extraction of Farm Pigsty Data for Electronic Nose</t>
  </si>
  <si>
    <t>IEEE Access</t>
    <phoneticPr fontId="3" type="noConversion"/>
  </si>
  <si>
    <t>IEEE Access</t>
  </si>
  <si>
    <t>2019.07.18</t>
  </si>
  <si>
    <t>CHENG KONG, SHISHUN ZHAO, XIAOHUI WENG, CHANG LIU, RENCHU GUAN, AND ZHIYONG CHANG*</t>
    <phoneticPr fontId="3" type="noConversion"/>
  </si>
  <si>
    <r>
      <t xml:space="preserve">Volume 7, 2019, </t>
    </r>
    <r>
      <rPr>
        <sz val="11"/>
        <color theme="1"/>
        <rFont val="宋体"/>
        <family val="3"/>
        <charset val="134"/>
      </rPr>
      <t>论文编号</t>
    </r>
    <r>
      <rPr>
        <sz val="11"/>
        <color theme="1"/>
        <rFont val="Times New Roman"/>
        <family val="1"/>
      </rPr>
      <t xml:space="preserve"> 8765732, Pages 96732-96742</t>
    </r>
    <phoneticPr fontId="3" type="noConversion"/>
  </si>
  <si>
    <t>An Optimal Wet Friction Plate Inspired by Biological Surface Patterns</t>
  </si>
  <si>
    <t>J. Bionic Eng.</t>
    <phoneticPr fontId="3" type="noConversion"/>
  </si>
  <si>
    <t>2018.09.01</t>
  </si>
  <si>
    <r>
      <t xml:space="preserve">Donghui Chen; Yuchen Zhang; Gang Long; Wei Liu; Xiuhui Li; Youhong Sun; </t>
    </r>
    <r>
      <rPr>
        <b/>
        <sz val="11"/>
        <color theme="1"/>
        <rFont val="Times New Roman"/>
        <family val="1"/>
      </rPr>
      <t>Zhiyong Chang*</t>
    </r>
    <phoneticPr fontId="3" type="noConversion"/>
  </si>
  <si>
    <t>Volume 15, Issue 5, 1 September 2018, Pages 872-882</t>
  </si>
  <si>
    <t>Bionic Optimization Design of Electronic Nose Chamber for Oil and Gas Detection</t>
  </si>
  <si>
    <t>000432918800012</t>
    <phoneticPr fontId="3" type="noConversion"/>
  </si>
  <si>
    <r>
      <t>Zhiyong Chang,</t>
    </r>
    <r>
      <rPr>
        <sz val="11"/>
        <color theme="1"/>
        <rFont val="Times New Roman"/>
        <family val="1"/>
      </rPr>
      <t>Youhong Sun*,Yuchen Zhang,Yanli Gao, Xiaohui Weng,Donghui Chen, Liewe David, Jun Xie</t>
    </r>
    <phoneticPr fontId="3" type="noConversion"/>
  </si>
  <si>
    <r>
      <rPr>
        <sz val="10.5"/>
        <color theme="1"/>
        <rFont val="宋体"/>
        <family val="3"/>
        <charset val="134"/>
      </rPr>
      <t>一作</t>
    </r>
  </si>
  <si>
    <t>Volume 15, Issue 3, 1 May 2018, Pages 533-544</t>
  </si>
  <si>
    <t>Bionic Design of the Bumper Beam Inspired by the Bending and Energy Absorption Characteristics of Bamboo</t>
  </si>
  <si>
    <t>Applied Bionics and Biomechanics</t>
  </si>
  <si>
    <t>2018.09.16</t>
  </si>
  <si>
    <r>
      <t xml:space="preserve">Meng Zou, Jiafeng Song, Shucai Xu, Shengfu Liu, and </t>
    </r>
    <r>
      <rPr>
        <b/>
        <sz val="11"/>
        <color theme="1"/>
        <rFont val="Times New Roman"/>
        <family val="1"/>
      </rPr>
      <t>Zhiyong Chang*</t>
    </r>
    <phoneticPr fontId="3" type="noConversion"/>
  </si>
  <si>
    <r>
      <t xml:space="preserve">Volume 2018, 2018, </t>
    </r>
    <r>
      <rPr>
        <sz val="12"/>
        <color theme="1"/>
        <rFont val="宋体"/>
        <family val="3"/>
        <charset val="134"/>
      </rPr>
      <t>论文编号</t>
    </r>
    <r>
      <rPr>
        <sz val="12"/>
        <color theme="1"/>
        <rFont val="Times New Roman"/>
        <family val="1"/>
      </rPr>
      <t> 8062321</t>
    </r>
  </si>
  <si>
    <t>Stability Performance of Inflatable Tube Imitating Clanis Bilineata Larva under Axial Pressure</t>
  </si>
  <si>
    <t>Journal of Mechanics in Medicine and Biology</t>
  </si>
  <si>
    <t>J. Mech. Med. Biol.</t>
  </si>
  <si>
    <t>2017.11.01</t>
  </si>
  <si>
    <t>DONGHUI CHEN, JIANHUA LV, WEI LIU, ZHIYONG CHANG* and XIAO YANG</t>
    <phoneticPr fontId="3" type="noConversion"/>
  </si>
  <si>
    <r>
      <t xml:space="preserve">Volume 17, Issue 7, 1 November 2017, </t>
    </r>
    <r>
      <rPr>
        <sz val="11"/>
        <color theme="1"/>
        <rFont val="宋体"/>
        <family val="3"/>
        <charset val="134"/>
      </rPr>
      <t>论文编号</t>
    </r>
    <r>
      <rPr>
        <sz val="11"/>
        <color theme="1"/>
        <rFont val="Times New Roman"/>
        <family val="1"/>
      </rPr>
      <t xml:space="preserve"> 1740028</t>
    </r>
  </si>
  <si>
    <t>Bacterial Infection Potato Tuber Soft Rot Disease Detection Based on Electronic Nose</t>
    <phoneticPr fontId="3" type="noConversion"/>
  </si>
  <si>
    <t>Open Life Sciences</t>
  </si>
  <si>
    <t>Open Life Sci.</t>
  </si>
  <si>
    <t>2017.11.23</t>
  </si>
  <si>
    <r>
      <t xml:space="preserve">Zhiyong Chang, </t>
    </r>
    <r>
      <rPr>
        <sz val="11"/>
        <color theme="1"/>
        <rFont val="Times New Roman"/>
        <family val="1"/>
      </rPr>
      <t>Jianhua Lv, Hongyan Qi, Yunhai Ma
, Donghui Chen, Jun Xie* and Youhong Sun*</t>
    </r>
    <phoneticPr fontId="3" type="noConversion"/>
  </si>
  <si>
    <t>Volume 12, Issue 1, 1 January 2017, Pages 379-385</t>
  </si>
  <si>
    <t>Design and Experiments of Biomimetic Stubble Cutter</t>
    <phoneticPr fontId="3" type="noConversion"/>
  </si>
  <si>
    <t>2016.06.01</t>
  </si>
  <si>
    <t>Zhiyong Chang, Wei Liu, Jin Tong, Li Guo, Heng Xie, Xiao Yang Haifeng Mu, Donghui Chen*</t>
    <phoneticPr fontId="3" type="noConversion"/>
  </si>
  <si>
    <t>Volume 13, Issue 2, 1 April 2016, Pages 335-343</t>
  </si>
  <si>
    <t>Application of a bionic ring structure on drill pipe surfaces to improve the performance of anti-corrosion coatings</t>
  </si>
  <si>
    <t>Anti-Corrosion Methods and Materials</t>
  </si>
  <si>
    <t>Anti-Corros. Methods Mater.</t>
  </si>
  <si>
    <t>2016.05.03</t>
  </si>
  <si>
    <r>
      <t xml:space="preserve">Ma, Yunhai; Wang, Hubiao; Zhang, Xin ; Shang, Wenbo ; Tong, Jin ; </t>
    </r>
    <r>
      <rPr>
        <b/>
        <sz val="10.5"/>
        <color theme="1"/>
        <rFont val="Times New Roman"/>
        <family val="1"/>
      </rPr>
      <t>Chang, Zhiyong*</t>
    </r>
    <phoneticPr fontId="3" type="noConversion"/>
  </si>
  <si>
    <t>Volume 63, Issue 3, 2016, Pages 177-183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</si>
</sst>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_);[Red]\(0\)"/>
    <numFmt numFmtId="178" formatCode="0.000_ "/>
  </numFmts>
  <fonts count="36">
    <font>
      <sz val="11"/>
      <color theme="1"/>
      <name val="等线"/>
      <family val="4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name val="SimSun"/>
      <family val="3"/>
      <charset val="134"/>
    </font>
    <font>
      <sz val="10.5"/>
      <name val="Times New Roman"/>
      <family val="1"/>
    </font>
    <font>
      <sz val="11"/>
      <color rgb="FFFF0000"/>
      <name val="等线"/>
      <family val="3"/>
      <charset val="134"/>
      <scheme val="minor"/>
    </font>
    <font>
      <sz val="9"/>
      <name val="宋体"/>
      <family val="3"/>
      <charset val="134"/>
    </font>
    <font>
      <sz val="10.5"/>
      <color rgb="FFFF0000"/>
      <name val="SimSun"/>
      <family val="3"/>
      <charset val="134"/>
    </font>
    <font>
      <sz val="10.5"/>
      <color rgb="FFFF0000"/>
      <name val="Times New Roman"/>
      <family val="1"/>
    </font>
    <font>
      <sz val="10.5"/>
      <name val="Times New Roman"/>
      <family val="3"/>
      <charset val="134"/>
    </font>
    <font>
      <sz val="10.5"/>
      <name val="宋体"/>
      <family val="3"/>
      <charset val="134"/>
    </font>
    <font>
      <sz val="10.5"/>
      <color rgb="FFFF0000"/>
      <name val="宋体"/>
      <family val="3"/>
      <charset val="134"/>
    </font>
    <font>
      <sz val="9"/>
      <color rgb="FFFF0000"/>
      <name val="宋体"/>
      <family val="3"/>
      <charset val="134"/>
    </font>
    <font>
      <sz val="11"/>
      <color rgb="FFFF0000"/>
      <name val="宋体"/>
      <family val="1"/>
      <charset val="134"/>
    </font>
    <font>
      <sz val="10.5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2"/>
      <name val="Times New Roman"/>
      <family val="1"/>
    </font>
    <font>
      <sz val="12"/>
      <name val="等线"/>
      <family val="3"/>
      <charset val="134"/>
      <scheme val="minor"/>
    </font>
    <font>
      <sz val="10.5"/>
      <name val="宋体"/>
      <family val="1"/>
      <charset val="134"/>
    </font>
    <font>
      <sz val="11"/>
      <name val="SimSun"/>
      <family val="3"/>
      <charset val="134"/>
    </font>
    <font>
      <sz val="11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.5"/>
      <color theme="1"/>
      <name val="SimSun"/>
      <family val="3"/>
      <charset val="134"/>
    </font>
    <font>
      <sz val="10.5"/>
      <color theme="1"/>
      <name val="Times New Roman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0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4" fillId="0" borderId="0" xfId="0" applyFont="1"/>
    <xf numFmtId="14" fontId="5" fillId="0" borderId="0" xfId="0" applyNumberFormat="1" applyFont="1" applyAlignment="1">
      <alignment horizontal="justify" vertical="center" wrapText="1"/>
    </xf>
    <xf numFmtId="14" fontId="6" fillId="0" borderId="0" xfId="0" applyNumberFormat="1" applyFont="1" applyAlignment="1">
      <alignment horizontal="justify" vertical="center" wrapText="1"/>
    </xf>
    <xf numFmtId="0" fontId="7" fillId="0" borderId="0" xfId="0" applyFont="1"/>
    <xf numFmtId="176" fontId="5" fillId="0" borderId="0" xfId="0" applyNumberFormat="1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14" fontId="7" fillId="0" borderId="0" xfId="0" applyNumberFormat="1" applyFont="1"/>
    <xf numFmtId="176" fontId="6" fillId="0" borderId="0" xfId="0" applyNumberFormat="1" applyFont="1" applyAlignment="1">
      <alignment horizontal="justify" vertical="center" wrapText="1"/>
    </xf>
    <xf numFmtId="176" fontId="11" fillId="0" borderId="0" xfId="0" applyNumberFormat="1" applyFont="1" applyAlignment="1">
      <alignment horizontal="justify" vertical="center" wrapText="1"/>
    </xf>
    <xf numFmtId="14" fontId="7" fillId="2" borderId="0" xfId="0" applyNumberFormat="1" applyFont="1" applyFill="1"/>
    <xf numFmtId="14" fontId="4" fillId="0" borderId="0" xfId="0" applyNumberFormat="1" applyFont="1"/>
    <xf numFmtId="14" fontId="4" fillId="2" borderId="0" xfId="0" applyNumberFormat="1" applyFont="1" applyFill="1"/>
    <xf numFmtId="0" fontId="4" fillId="0" borderId="0" xfId="0" applyFont="1" applyAlignment="1">
      <alignment horizontal="center"/>
    </xf>
    <xf numFmtId="0" fontId="14" fillId="0" borderId="0" xfId="0" applyFont="1" applyAlignment="1">
      <alignment horizontal="justify" vertical="center" wrapText="1"/>
    </xf>
    <xf numFmtId="14" fontId="4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4" fillId="2" borderId="0" xfId="0" applyNumberFormat="1" applyFont="1" applyFill="1" applyAlignment="1">
      <alignment wrapText="1"/>
    </xf>
    <xf numFmtId="0" fontId="7" fillId="2" borderId="0" xfId="0" applyFont="1" applyFill="1"/>
    <xf numFmtId="0" fontId="17" fillId="0" borderId="0" xfId="0" applyFont="1"/>
    <xf numFmtId="0" fontId="21" fillId="0" borderId="0" xfId="0" applyFont="1" applyAlignment="1">
      <alignment wrapText="1"/>
    </xf>
    <xf numFmtId="177" fontId="6" fillId="0" borderId="0" xfId="0" applyNumberFormat="1" applyFont="1" applyAlignment="1">
      <alignment horizontal="justify" vertical="center" wrapText="1"/>
    </xf>
    <xf numFmtId="0" fontId="22" fillId="0" borderId="0" xfId="0" applyFont="1" applyAlignment="1">
      <alignment wrapText="1"/>
    </xf>
    <xf numFmtId="176" fontId="4" fillId="0" borderId="0" xfId="0" applyNumberFormat="1" applyFont="1"/>
    <xf numFmtId="0" fontId="4" fillId="0" borderId="0" xfId="0" applyFont="1" applyAlignment="1">
      <alignment wrapText="1"/>
    </xf>
    <xf numFmtId="0" fontId="1" fillId="0" borderId="0" xfId="0" applyFont="1" applyFill="1"/>
    <xf numFmtId="14" fontId="5" fillId="0" borderId="0" xfId="0" applyNumberFormat="1" applyFont="1" applyFill="1" applyAlignment="1">
      <alignment horizontal="justify" vertical="center" wrapText="1"/>
    </xf>
    <xf numFmtId="176" fontId="5" fillId="0" borderId="0" xfId="0" applyNumberFormat="1" applyFont="1" applyFill="1" applyAlignment="1">
      <alignment horizontal="justify" vertical="center" wrapText="1"/>
    </xf>
    <xf numFmtId="0" fontId="12" fillId="0" borderId="0" xfId="0" applyFont="1" applyFill="1" applyAlignment="1">
      <alignment horizontal="justify" vertical="center" wrapText="1"/>
    </xf>
    <xf numFmtId="0" fontId="4" fillId="0" borderId="0" xfId="0" applyFont="1" applyFill="1"/>
    <xf numFmtId="0" fontId="20" fillId="0" borderId="0" xfId="0" applyFont="1" applyFill="1" applyAlignment="1">
      <alignment horizontal="justify" vertical="center" wrapText="1"/>
    </xf>
    <xf numFmtId="0" fontId="16" fillId="0" borderId="0" xfId="0" applyFont="1" applyFill="1" applyAlignment="1">
      <alignment horizontal="justify" vertical="center" wrapText="1"/>
    </xf>
    <xf numFmtId="0" fontId="13" fillId="0" borderId="0" xfId="0" applyFont="1" applyFill="1" applyAlignment="1">
      <alignment horizontal="justify" vertical="center" wrapText="1"/>
    </xf>
    <xf numFmtId="176" fontId="9" fillId="0" borderId="0" xfId="0" applyNumberFormat="1" applyFont="1" applyFill="1" applyAlignment="1">
      <alignment horizontal="justify" vertical="center" wrapText="1"/>
    </xf>
    <xf numFmtId="0" fontId="2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2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3" fontId="26" fillId="0" borderId="0" xfId="0" applyNumberFormat="1" applyFont="1"/>
    <xf numFmtId="0" fontId="11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25" fillId="0" borderId="0" xfId="0" applyFont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28" fillId="3" borderId="0" xfId="0" applyFont="1" applyFill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 vertical="center" wrapText="1"/>
    </xf>
    <xf numFmtId="0" fontId="30" fillId="3" borderId="0" xfId="0" applyFont="1" applyFill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49" fontId="23" fillId="3" borderId="1" xfId="0" applyNumberFormat="1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left" vertical="center" wrapText="1"/>
    </xf>
    <xf numFmtId="49" fontId="25" fillId="0" borderId="0" xfId="0" applyNumberFormat="1" applyFont="1"/>
    <xf numFmtId="0" fontId="23" fillId="3" borderId="4" xfId="0" applyFont="1" applyFill="1" applyBorder="1" applyAlignment="1">
      <alignment horizontal="left" vertical="center" wrapText="1"/>
    </xf>
    <xf numFmtId="49" fontId="30" fillId="3" borderId="1" xfId="0" applyNumberFormat="1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28" fillId="3" borderId="3" xfId="0" applyFont="1" applyFill="1" applyBorder="1" applyAlignment="1">
      <alignment horizontal="left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26" fillId="0" borderId="0" xfId="0" applyFont="1" applyAlignment="1">
      <alignment horizontal="center" wrapText="1"/>
    </xf>
    <xf numFmtId="0" fontId="26" fillId="0" borderId="0" xfId="0" applyFont="1"/>
    <xf numFmtId="0" fontId="26" fillId="0" borderId="0" xfId="0" applyFont="1" applyAlignment="1">
      <alignment horizontal="left"/>
    </xf>
    <xf numFmtId="0" fontId="23" fillId="2" borderId="0" xfId="0" applyFont="1" applyFill="1" applyAlignment="1">
      <alignment horizontal="left" vertical="center" wrapText="1"/>
    </xf>
    <xf numFmtId="0" fontId="26" fillId="0" borderId="0" xfId="0" applyFont="1" applyAlignment="1">
      <alignment wrapText="1"/>
    </xf>
    <xf numFmtId="0" fontId="23" fillId="0" borderId="0" xfId="0" applyFont="1" applyAlignment="1">
      <alignment horizontal="center" vertical="center" wrapText="1"/>
    </xf>
    <xf numFmtId="178" fontId="23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33" fillId="0" borderId="0" xfId="0" applyFont="1"/>
    <xf numFmtId="0" fontId="31" fillId="0" borderId="0" xfId="0" applyFont="1" applyAlignment="1">
      <alignment horizontal="left" vertical="center" wrapText="1"/>
    </xf>
    <xf numFmtId="49" fontId="25" fillId="0" borderId="0" xfId="0" applyNumberFormat="1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wrapText="1"/>
    </xf>
    <xf numFmtId="0" fontId="5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22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wrapText="1"/>
    </xf>
    <xf numFmtId="14" fontId="10" fillId="0" borderId="0" xfId="0" applyNumberFormat="1" applyFont="1" applyFill="1" applyAlignment="1">
      <alignment horizontal="justify" vertical="center" wrapText="1"/>
    </xf>
    <xf numFmtId="0" fontId="15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5BD6-A0E0-1B42-B648-47DDDC91232F}">
  <dimension ref="A1:Q202"/>
  <sheetViews>
    <sheetView zoomScale="125" zoomScaleNormal="50" workbookViewId="0">
      <selection activeCell="A27" sqref="A27"/>
    </sheetView>
  </sheetViews>
  <sheetFormatPr baseColWidth="10" defaultColWidth="9" defaultRowHeight="15"/>
  <cols>
    <col min="1" max="1" width="57" style="31" customWidth="1"/>
    <col min="2" max="2" width="11.33203125" style="100" customWidth="1"/>
    <col min="3" max="3" width="9" style="3" customWidth="1"/>
    <col min="4" max="4" width="10.6640625" style="3" customWidth="1"/>
    <col min="5" max="5" width="9.83203125" style="15" customWidth="1"/>
    <col min="6" max="6" width="8.33203125" style="101" customWidth="1"/>
    <col min="7" max="7" width="18" customWidth="1"/>
    <col min="8" max="8" width="8.5" customWidth="1"/>
    <col min="9" max="9" width="7.5" customWidth="1"/>
    <col min="10" max="10" width="21" customWidth="1"/>
    <col min="11" max="11" width="11.83203125" customWidth="1"/>
    <col min="12" max="12" width="51.83203125" customWidth="1"/>
    <col min="13" max="13" width="13.6640625" customWidth="1"/>
    <col min="15" max="15" width="24.5" customWidth="1"/>
    <col min="17" max="17" width="70.33203125" customWidth="1"/>
  </cols>
  <sheetData>
    <row r="1" spans="1:17" ht="30">
      <c r="A1" s="102" t="s">
        <v>187</v>
      </c>
      <c r="B1" s="37" t="s">
        <v>188</v>
      </c>
      <c r="C1" s="37" t="s">
        <v>189</v>
      </c>
      <c r="D1" s="37" t="s">
        <v>190</v>
      </c>
      <c r="E1" s="37" t="s">
        <v>191</v>
      </c>
      <c r="F1" s="37" t="s">
        <v>192</v>
      </c>
      <c r="G1" s="37" t="s">
        <v>193</v>
      </c>
      <c r="H1" s="37" t="s">
        <v>194</v>
      </c>
      <c r="I1" s="37" t="s">
        <v>195</v>
      </c>
      <c r="J1" s="37"/>
      <c r="K1" s="37" t="s">
        <v>196</v>
      </c>
      <c r="L1" s="37" t="s">
        <v>197</v>
      </c>
      <c r="M1" s="38" t="s">
        <v>198</v>
      </c>
      <c r="N1" s="39"/>
      <c r="O1" s="39"/>
      <c r="P1" s="39"/>
    </row>
    <row r="2" spans="1:17">
      <c r="A2" s="103"/>
      <c r="B2" s="41"/>
      <c r="C2" s="41"/>
      <c r="D2" s="41"/>
      <c r="E2" s="37"/>
      <c r="F2" s="37"/>
      <c r="G2" s="37"/>
      <c r="H2" s="37"/>
      <c r="I2" s="37"/>
      <c r="J2" s="37"/>
      <c r="K2" s="37"/>
      <c r="L2" s="37"/>
      <c r="M2" s="38"/>
      <c r="N2" s="39"/>
      <c r="O2" s="39"/>
      <c r="P2" s="39"/>
    </row>
    <row r="3" spans="1:17" ht="45">
      <c r="A3" s="103" t="s">
        <v>199</v>
      </c>
      <c r="B3" s="41"/>
      <c r="C3" s="41"/>
      <c r="D3" s="41"/>
      <c r="E3" s="37">
        <v>1</v>
      </c>
      <c r="F3" s="37">
        <v>1</v>
      </c>
      <c r="G3" s="37" t="s">
        <v>200</v>
      </c>
      <c r="H3" s="37">
        <v>14.1</v>
      </c>
      <c r="I3" s="37"/>
      <c r="J3" s="37"/>
      <c r="K3" s="37"/>
      <c r="L3" s="37" t="s">
        <v>201</v>
      </c>
      <c r="M3" s="37" t="s">
        <v>202</v>
      </c>
      <c r="N3" s="39"/>
      <c r="O3" s="42" t="s">
        <v>203</v>
      </c>
      <c r="P3" s="39"/>
    </row>
    <row r="4" spans="1:17" ht="30">
      <c r="A4" s="103" t="s">
        <v>204</v>
      </c>
      <c r="B4" s="41"/>
      <c r="C4" s="41"/>
      <c r="D4" s="41"/>
      <c r="E4" s="37">
        <v>2</v>
      </c>
      <c r="F4" s="37">
        <v>1</v>
      </c>
      <c r="G4" s="37" t="s">
        <v>205</v>
      </c>
      <c r="H4" s="37">
        <v>5.0999999999999996</v>
      </c>
      <c r="I4" s="37"/>
      <c r="J4" s="37" t="s">
        <v>206</v>
      </c>
      <c r="K4" s="37" t="s">
        <v>207</v>
      </c>
      <c r="L4" s="37" t="s">
        <v>208</v>
      </c>
      <c r="M4" s="37" t="s">
        <v>209</v>
      </c>
      <c r="N4" s="39"/>
      <c r="O4" s="42" t="s">
        <v>210</v>
      </c>
      <c r="P4" s="39"/>
    </row>
    <row r="5" spans="1:17" ht="45">
      <c r="A5" s="103" t="s">
        <v>211</v>
      </c>
      <c r="B5" s="41"/>
      <c r="C5" s="41"/>
      <c r="D5" s="41"/>
      <c r="E5" s="37">
        <v>1</v>
      </c>
      <c r="F5" s="37">
        <v>1</v>
      </c>
      <c r="G5" s="37" t="s">
        <v>212</v>
      </c>
      <c r="H5" s="37">
        <v>9</v>
      </c>
      <c r="I5" s="37"/>
      <c r="J5" s="37" t="s">
        <v>213</v>
      </c>
      <c r="K5" s="37" t="s">
        <v>214</v>
      </c>
      <c r="L5" s="37" t="s">
        <v>215</v>
      </c>
      <c r="M5" s="37" t="s">
        <v>202</v>
      </c>
      <c r="N5" s="39"/>
      <c r="O5" s="42" t="s">
        <v>216</v>
      </c>
      <c r="P5" s="39"/>
    </row>
    <row r="6" spans="1:17" ht="30">
      <c r="A6" s="103" t="s">
        <v>217</v>
      </c>
      <c r="B6" s="41"/>
      <c r="C6" s="41"/>
      <c r="D6" s="41"/>
      <c r="E6" s="15">
        <v>1</v>
      </c>
      <c r="F6" s="37">
        <v>1</v>
      </c>
      <c r="G6" s="37" t="s">
        <v>218</v>
      </c>
      <c r="H6" s="37">
        <v>19</v>
      </c>
      <c r="I6" s="37"/>
      <c r="J6" s="37" t="s">
        <v>219</v>
      </c>
      <c r="K6" s="37" t="s">
        <v>220</v>
      </c>
      <c r="L6" s="37" t="s">
        <v>221</v>
      </c>
      <c r="M6" s="43" t="s">
        <v>222</v>
      </c>
      <c r="N6" s="39"/>
      <c r="O6" s="42" t="s">
        <v>223</v>
      </c>
      <c r="P6" s="39"/>
    </row>
    <row r="7" spans="1:17" ht="45">
      <c r="A7" s="103" t="s">
        <v>224</v>
      </c>
      <c r="B7" s="41"/>
      <c r="C7" s="41"/>
      <c r="D7" s="41"/>
      <c r="E7" s="37">
        <v>1</v>
      </c>
      <c r="F7" s="37">
        <v>1</v>
      </c>
      <c r="G7" s="37" t="s">
        <v>225</v>
      </c>
      <c r="H7" s="37">
        <v>7.2</v>
      </c>
      <c r="I7" s="37"/>
      <c r="J7" s="37"/>
      <c r="K7" s="37" t="s">
        <v>226</v>
      </c>
      <c r="L7" s="37" t="s">
        <v>215</v>
      </c>
      <c r="M7" s="37" t="s">
        <v>202</v>
      </c>
      <c r="N7" s="39"/>
      <c r="O7" s="42" t="s">
        <v>227</v>
      </c>
      <c r="P7" s="39"/>
    </row>
    <row r="8" spans="1:17" ht="30">
      <c r="A8" s="103" t="s">
        <v>228</v>
      </c>
      <c r="B8" s="41"/>
      <c r="C8" s="41"/>
      <c r="D8" s="41"/>
      <c r="E8" s="44">
        <v>2</v>
      </c>
      <c r="F8" s="44">
        <v>1</v>
      </c>
      <c r="G8" s="37" t="s">
        <v>229</v>
      </c>
      <c r="H8" s="37">
        <v>4.9000000000000004</v>
      </c>
      <c r="I8" s="37"/>
      <c r="J8" s="37"/>
      <c r="K8" s="37" t="s">
        <v>230</v>
      </c>
      <c r="L8" s="37" t="s">
        <v>231</v>
      </c>
      <c r="M8" s="37" t="s">
        <v>202</v>
      </c>
      <c r="N8" s="39"/>
      <c r="O8" s="41" t="s">
        <v>232</v>
      </c>
      <c r="P8" s="39"/>
    </row>
    <row r="9" spans="1:17" ht="45">
      <c r="A9" s="103" t="s">
        <v>233</v>
      </c>
      <c r="B9" s="41"/>
      <c r="C9" s="41"/>
      <c r="D9" s="41"/>
      <c r="E9" s="37">
        <v>1</v>
      </c>
      <c r="F9" s="37">
        <v>1</v>
      </c>
      <c r="G9" s="37" t="s">
        <v>234</v>
      </c>
      <c r="H9" s="37">
        <v>9.1</v>
      </c>
      <c r="I9" s="37"/>
      <c r="J9" s="37" t="s">
        <v>235</v>
      </c>
      <c r="K9" s="37" t="s">
        <v>236</v>
      </c>
      <c r="L9" s="37" t="s">
        <v>237</v>
      </c>
      <c r="M9" s="37" t="s">
        <v>202</v>
      </c>
      <c r="N9" s="39"/>
      <c r="O9" s="41" t="s">
        <v>238</v>
      </c>
      <c r="P9" s="39"/>
    </row>
    <row r="10" spans="1:17" ht="30">
      <c r="A10" s="103" t="s">
        <v>239</v>
      </c>
      <c r="B10" s="41"/>
      <c r="C10" s="41"/>
      <c r="D10" s="41"/>
      <c r="E10" s="37">
        <v>1</v>
      </c>
      <c r="F10" s="37">
        <v>1</v>
      </c>
      <c r="G10" s="37" t="s">
        <v>240</v>
      </c>
      <c r="H10" s="37">
        <v>7.7</v>
      </c>
      <c r="I10" s="37"/>
      <c r="J10" s="37"/>
      <c r="K10" s="37" t="s">
        <v>220</v>
      </c>
      <c r="L10" s="37" t="s">
        <v>241</v>
      </c>
      <c r="M10" s="37" t="s">
        <v>209</v>
      </c>
      <c r="N10" s="39"/>
      <c r="O10" s="41" t="s">
        <v>242</v>
      </c>
      <c r="P10" s="39"/>
    </row>
    <row r="11" spans="1:17" ht="30">
      <c r="A11" s="103" t="s">
        <v>243</v>
      </c>
      <c r="B11" s="41"/>
      <c r="C11" s="41"/>
      <c r="D11" s="41"/>
      <c r="E11" s="37">
        <v>1</v>
      </c>
      <c r="F11" s="37">
        <v>1</v>
      </c>
      <c r="G11" s="37" t="s">
        <v>240</v>
      </c>
      <c r="H11" s="37">
        <v>7.7</v>
      </c>
      <c r="I11" s="37"/>
      <c r="J11" s="37"/>
      <c r="K11" s="37" t="s">
        <v>244</v>
      </c>
      <c r="L11" s="37" t="s">
        <v>245</v>
      </c>
      <c r="M11" s="37" t="s">
        <v>209</v>
      </c>
      <c r="N11" s="39"/>
      <c r="O11" s="45" t="s">
        <v>246</v>
      </c>
      <c r="P11" s="39"/>
      <c r="Q11" s="46" t="s">
        <v>247</v>
      </c>
    </row>
    <row r="12" spans="1:17" ht="30">
      <c r="A12" s="103" t="s">
        <v>248</v>
      </c>
      <c r="B12" s="41"/>
      <c r="C12" s="41"/>
      <c r="D12" s="41"/>
      <c r="E12" s="37">
        <v>2</v>
      </c>
      <c r="F12" s="37">
        <v>2</v>
      </c>
      <c r="G12" s="37" t="s">
        <v>249</v>
      </c>
      <c r="H12" s="37">
        <v>3.5</v>
      </c>
      <c r="I12" s="37"/>
      <c r="J12" s="37"/>
      <c r="K12" s="37" t="s">
        <v>250</v>
      </c>
      <c r="L12" s="37" t="s">
        <v>251</v>
      </c>
      <c r="M12" s="37" t="s">
        <v>202</v>
      </c>
      <c r="N12" s="39"/>
      <c r="O12" s="45" t="s">
        <v>252</v>
      </c>
      <c r="P12" s="39"/>
      <c r="Q12" s="46"/>
    </row>
    <row r="13" spans="1:17" ht="45">
      <c r="A13" s="103" t="s">
        <v>253</v>
      </c>
      <c r="B13" s="41"/>
      <c r="C13" s="41"/>
      <c r="D13" s="41"/>
      <c r="E13" s="37">
        <v>4</v>
      </c>
      <c r="F13" s="37">
        <v>2</v>
      </c>
      <c r="G13" s="37" t="s">
        <v>254</v>
      </c>
      <c r="H13" s="37">
        <v>3</v>
      </c>
      <c r="I13" s="37"/>
      <c r="J13" s="37" t="s">
        <v>255</v>
      </c>
      <c r="K13" s="37" t="s">
        <v>256</v>
      </c>
      <c r="L13" s="37" t="s">
        <v>257</v>
      </c>
      <c r="M13" s="37" t="s">
        <v>202</v>
      </c>
      <c r="N13" s="39"/>
      <c r="O13" s="45" t="s">
        <v>258</v>
      </c>
      <c r="P13" s="39"/>
      <c r="Q13" s="46" t="s">
        <v>259</v>
      </c>
    </row>
    <row r="14" spans="1:17" ht="45">
      <c r="A14" s="103" t="s">
        <v>260</v>
      </c>
      <c r="B14" s="41"/>
      <c r="C14" s="41"/>
      <c r="D14" s="41"/>
      <c r="E14" s="37">
        <v>1</v>
      </c>
      <c r="F14" s="37">
        <v>1</v>
      </c>
      <c r="G14" s="37" t="s">
        <v>240</v>
      </c>
      <c r="H14" s="37">
        <v>7.7</v>
      </c>
      <c r="I14" s="37"/>
      <c r="J14" s="37"/>
      <c r="K14" s="37" t="s">
        <v>261</v>
      </c>
      <c r="L14" s="37" t="s">
        <v>262</v>
      </c>
      <c r="M14" s="38"/>
      <c r="N14" s="39"/>
      <c r="O14" s="42" t="s">
        <v>263</v>
      </c>
      <c r="P14" s="39"/>
      <c r="Q14" s="46" t="s">
        <v>264</v>
      </c>
    </row>
    <row r="15" spans="1:17" ht="48">
      <c r="A15" s="104" t="s">
        <v>265</v>
      </c>
      <c r="B15" s="48"/>
      <c r="C15" s="48"/>
      <c r="D15" s="47"/>
      <c r="E15" s="37">
        <v>1</v>
      </c>
      <c r="F15" s="37">
        <v>1</v>
      </c>
      <c r="G15" s="47" t="s">
        <v>266</v>
      </c>
      <c r="H15" s="37">
        <v>6.8</v>
      </c>
      <c r="I15" s="37"/>
      <c r="J15" s="37"/>
      <c r="K15" s="37" t="s">
        <v>267</v>
      </c>
      <c r="L15" s="37" t="s">
        <v>268</v>
      </c>
      <c r="M15" s="37" t="s">
        <v>202</v>
      </c>
      <c r="N15" s="39"/>
      <c r="O15" s="42" t="s">
        <v>269</v>
      </c>
      <c r="P15" s="39"/>
      <c r="Q15" s="37" t="s">
        <v>268</v>
      </c>
    </row>
    <row r="16" spans="1:17" ht="30">
      <c r="A16" s="102" t="s">
        <v>270</v>
      </c>
      <c r="B16" s="37"/>
      <c r="C16" s="37"/>
      <c r="D16" s="37"/>
      <c r="E16" s="37">
        <v>1</v>
      </c>
      <c r="F16" s="37">
        <v>1</v>
      </c>
      <c r="G16" s="37" t="s">
        <v>240</v>
      </c>
      <c r="H16" s="37">
        <v>7.7</v>
      </c>
      <c r="I16" s="37"/>
      <c r="J16" s="37"/>
      <c r="K16" s="37" t="s">
        <v>271</v>
      </c>
      <c r="L16" s="37" t="s">
        <v>272</v>
      </c>
      <c r="M16" s="37" t="s">
        <v>209</v>
      </c>
      <c r="N16" s="39"/>
      <c r="O16" s="42" t="s">
        <v>273</v>
      </c>
      <c r="P16" s="39"/>
      <c r="Q16" s="46" t="s">
        <v>274</v>
      </c>
    </row>
    <row r="17" spans="1:17" ht="45">
      <c r="A17" s="102" t="s">
        <v>275</v>
      </c>
      <c r="B17" s="37"/>
      <c r="C17" s="37"/>
      <c r="D17" s="37"/>
      <c r="E17" s="37">
        <v>1</v>
      </c>
      <c r="F17" s="37">
        <v>1</v>
      </c>
      <c r="G17" s="37" t="s">
        <v>276</v>
      </c>
      <c r="H17" s="37">
        <v>7.8</v>
      </c>
      <c r="I17" s="37"/>
      <c r="J17" s="37" t="s">
        <v>277</v>
      </c>
      <c r="K17" s="37" t="s">
        <v>278</v>
      </c>
      <c r="L17" s="37" t="s">
        <v>279</v>
      </c>
      <c r="M17" s="37" t="s">
        <v>209</v>
      </c>
      <c r="N17" s="39"/>
      <c r="O17" s="42" t="s">
        <v>280</v>
      </c>
      <c r="P17" s="39"/>
      <c r="Q17" s="46" t="s">
        <v>281</v>
      </c>
    </row>
    <row r="18" spans="1:17" ht="45">
      <c r="A18" s="102" t="s">
        <v>282</v>
      </c>
      <c r="B18" s="37"/>
      <c r="C18" s="37"/>
      <c r="D18" s="37"/>
      <c r="E18" s="37">
        <v>1</v>
      </c>
      <c r="F18" s="37">
        <v>1</v>
      </c>
      <c r="G18" s="37" t="s">
        <v>240</v>
      </c>
      <c r="H18" s="37">
        <v>7.7</v>
      </c>
      <c r="I18" s="37"/>
      <c r="J18" s="37"/>
      <c r="K18" s="50" t="s">
        <v>283</v>
      </c>
      <c r="L18" s="49" t="s">
        <v>284</v>
      </c>
      <c r="M18" s="37" t="s">
        <v>209</v>
      </c>
      <c r="N18" s="39"/>
      <c r="O18" s="42" t="s">
        <v>285</v>
      </c>
      <c r="P18" s="39"/>
      <c r="Q18" s="46" t="s">
        <v>286</v>
      </c>
    </row>
    <row r="19" spans="1:17" ht="30">
      <c r="A19" s="102" t="s">
        <v>287</v>
      </c>
      <c r="B19" s="37"/>
      <c r="C19" s="37"/>
      <c r="D19" s="37"/>
      <c r="E19" s="37">
        <v>1</v>
      </c>
      <c r="F19" s="37">
        <v>1</v>
      </c>
      <c r="G19" s="37" t="s">
        <v>288</v>
      </c>
      <c r="H19" s="37">
        <v>19.100000000000001</v>
      </c>
      <c r="I19" s="37"/>
      <c r="J19" s="37" t="s">
        <v>288</v>
      </c>
      <c r="K19" s="37" t="s">
        <v>289</v>
      </c>
      <c r="L19" s="37" t="s">
        <v>290</v>
      </c>
      <c r="M19" s="37" t="s">
        <v>202</v>
      </c>
      <c r="N19" s="39"/>
      <c r="O19" s="42" t="s">
        <v>291</v>
      </c>
      <c r="P19" s="39"/>
      <c r="Q19" s="37" t="s">
        <v>290</v>
      </c>
    </row>
    <row r="20" spans="1:17" ht="45">
      <c r="A20" s="102" t="s">
        <v>292</v>
      </c>
      <c r="B20" s="37"/>
      <c r="C20" s="37"/>
      <c r="D20" s="37"/>
      <c r="E20" s="37">
        <v>1</v>
      </c>
      <c r="F20" s="37">
        <v>1</v>
      </c>
      <c r="G20" s="37" t="s">
        <v>212</v>
      </c>
      <c r="H20" s="37">
        <v>9</v>
      </c>
      <c r="I20" s="37"/>
      <c r="J20" s="37" t="s">
        <v>213</v>
      </c>
      <c r="K20" s="50" t="s">
        <v>293</v>
      </c>
      <c r="L20" s="49" t="s">
        <v>294</v>
      </c>
      <c r="M20" s="37" t="s">
        <v>209</v>
      </c>
      <c r="N20" s="39"/>
      <c r="O20" s="42" t="s">
        <v>295</v>
      </c>
      <c r="P20" s="39"/>
      <c r="Q20" s="46" t="s">
        <v>296</v>
      </c>
    </row>
    <row r="21" spans="1:17" ht="30">
      <c r="A21" s="102" t="s">
        <v>297</v>
      </c>
      <c r="B21" s="37"/>
      <c r="C21" s="37"/>
      <c r="D21" s="37"/>
      <c r="E21" s="37">
        <v>1</v>
      </c>
      <c r="F21" s="37">
        <v>1</v>
      </c>
      <c r="G21" s="36" t="s">
        <v>298</v>
      </c>
      <c r="H21" s="36">
        <v>13.2</v>
      </c>
      <c r="I21" s="51"/>
      <c r="J21" s="51"/>
      <c r="K21" s="37" t="s">
        <v>299</v>
      </c>
      <c r="L21" s="37" t="s">
        <v>300</v>
      </c>
      <c r="M21" s="37" t="s">
        <v>222</v>
      </c>
      <c r="N21" s="39"/>
      <c r="O21" s="42" t="s">
        <v>301</v>
      </c>
      <c r="P21" s="39"/>
      <c r="Q21" s="37" t="s">
        <v>300</v>
      </c>
    </row>
    <row r="22" spans="1:17" ht="45">
      <c r="A22" s="102" t="s">
        <v>302</v>
      </c>
      <c r="B22" s="37"/>
      <c r="C22" s="37"/>
      <c r="D22" s="37"/>
      <c r="E22" s="37">
        <v>1</v>
      </c>
      <c r="F22" s="37">
        <v>1</v>
      </c>
      <c r="G22" s="37" t="s">
        <v>303</v>
      </c>
      <c r="H22" s="37">
        <v>9.1</v>
      </c>
      <c r="I22" s="37"/>
      <c r="J22" s="37" t="s">
        <v>304</v>
      </c>
      <c r="K22" s="37" t="s">
        <v>305</v>
      </c>
      <c r="L22" s="49" t="s">
        <v>306</v>
      </c>
      <c r="M22" s="37" t="s">
        <v>202</v>
      </c>
      <c r="N22" s="39"/>
      <c r="O22" s="42" t="s">
        <v>307</v>
      </c>
      <c r="P22" s="39"/>
      <c r="Q22" s="37" t="s">
        <v>306</v>
      </c>
    </row>
    <row r="23" spans="1:17" ht="40" customHeight="1">
      <c r="A23" s="102" t="s">
        <v>308</v>
      </c>
      <c r="B23" s="37"/>
      <c r="C23" s="37"/>
      <c r="D23" s="37"/>
      <c r="E23" s="37">
        <v>1</v>
      </c>
      <c r="F23" s="37">
        <v>1</v>
      </c>
      <c r="G23" s="51" t="s">
        <v>309</v>
      </c>
      <c r="H23" s="51">
        <v>6.7</v>
      </c>
      <c r="I23" s="51"/>
      <c r="J23" s="51" t="s">
        <v>310</v>
      </c>
      <c r="K23" s="37" t="s">
        <v>311</v>
      </c>
      <c r="L23" s="49" t="s">
        <v>312</v>
      </c>
      <c r="M23" s="37" t="s">
        <v>202</v>
      </c>
      <c r="N23" s="39"/>
      <c r="O23" s="42" t="s">
        <v>313</v>
      </c>
      <c r="P23" s="39"/>
      <c r="Q23" s="46" t="s">
        <v>314</v>
      </c>
    </row>
    <row r="24" spans="1:17" ht="43" customHeight="1">
      <c r="A24" s="105" t="s">
        <v>315</v>
      </c>
      <c r="B24" s="37"/>
      <c r="C24" s="37"/>
      <c r="D24" s="37"/>
      <c r="E24" s="37">
        <v>1</v>
      </c>
      <c r="F24" s="36">
        <v>1</v>
      </c>
      <c r="G24" s="36" t="s">
        <v>298</v>
      </c>
      <c r="H24" s="36">
        <v>13.2</v>
      </c>
      <c r="I24" s="36"/>
      <c r="J24" s="36"/>
      <c r="K24" s="36" t="s">
        <v>316</v>
      </c>
      <c r="L24" s="49" t="s">
        <v>317</v>
      </c>
      <c r="M24" s="37" t="s">
        <v>209</v>
      </c>
      <c r="N24" s="39"/>
      <c r="O24" s="37" t="s">
        <v>318</v>
      </c>
      <c r="P24" s="39"/>
      <c r="Q24" s="52" t="s">
        <v>319</v>
      </c>
    </row>
    <row r="25" spans="1:17" ht="47" customHeight="1">
      <c r="A25" s="102" t="s">
        <v>320</v>
      </c>
      <c r="B25" s="37"/>
      <c r="C25" s="37"/>
      <c r="D25" s="37"/>
      <c r="E25" s="37">
        <v>1</v>
      </c>
      <c r="F25" s="37">
        <v>1</v>
      </c>
      <c r="G25" s="51" t="s">
        <v>240</v>
      </c>
      <c r="H25" s="37">
        <v>7.7</v>
      </c>
      <c r="I25" s="37"/>
      <c r="J25" s="37"/>
      <c r="K25" s="37" t="s">
        <v>321</v>
      </c>
      <c r="L25" s="49" t="s">
        <v>322</v>
      </c>
      <c r="M25" s="37" t="s">
        <v>202</v>
      </c>
      <c r="N25" s="37"/>
      <c r="O25" s="37" t="s">
        <v>323</v>
      </c>
      <c r="P25" s="39"/>
      <c r="Q25" s="53" t="s">
        <v>324</v>
      </c>
    </row>
    <row r="26" spans="1:17" ht="47" customHeight="1">
      <c r="A26" s="102" t="s">
        <v>325</v>
      </c>
      <c r="B26" s="37" t="s">
        <v>326</v>
      </c>
      <c r="C26" s="37"/>
      <c r="D26" s="37"/>
      <c r="E26" s="37">
        <v>1</v>
      </c>
      <c r="F26" s="37">
        <v>1</v>
      </c>
      <c r="G26" s="37" t="s">
        <v>327</v>
      </c>
      <c r="H26" s="37">
        <v>6.9</v>
      </c>
      <c r="I26" s="37"/>
      <c r="J26" s="37" t="s">
        <v>328</v>
      </c>
      <c r="K26" s="37" t="s">
        <v>329</v>
      </c>
      <c r="L26" s="54" t="s">
        <v>330</v>
      </c>
      <c r="M26" s="37" t="s">
        <v>202</v>
      </c>
      <c r="N26" s="39"/>
      <c r="O26" s="42" t="s">
        <v>331</v>
      </c>
      <c r="P26" s="39"/>
      <c r="Q26" s="55" t="s">
        <v>332</v>
      </c>
    </row>
    <row r="27" spans="1:17" ht="45">
      <c r="A27" s="102" t="s">
        <v>333</v>
      </c>
      <c r="B27" s="37"/>
      <c r="C27" s="37"/>
      <c r="D27" s="37"/>
      <c r="E27" s="37">
        <v>1</v>
      </c>
      <c r="F27" s="37">
        <v>1</v>
      </c>
      <c r="G27" s="37" t="s">
        <v>334</v>
      </c>
      <c r="H27" s="37">
        <v>6.8</v>
      </c>
      <c r="I27" s="37"/>
      <c r="J27" s="37" t="s">
        <v>335</v>
      </c>
      <c r="K27" s="37" t="s">
        <v>336</v>
      </c>
      <c r="L27" s="49" t="s">
        <v>337</v>
      </c>
      <c r="M27" s="44" t="s">
        <v>209</v>
      </c>
      <c r="N27" s="37"/>
      <c r="O27" s="56" t="s">
        <v>338</v>
      </c>
      <c r="P27" s="39"/>
      <c r="Q27" s="57" t="s">
        <v>339</v>
      </c>
    </row>
    <row r="28" spans="1:17" ht="45">
      <c r="A28" s="102" t="s">
        <v>340</v>
      </c>
      <c r="B28" s="37"/>
      <c r="C28" s="37"/>
      <c r="D28" s="37"/>
      <c r="E28" s="58">
        <v>1</v>
      </c>
      <c r="F28" s="58">
        <v>1</v>
      </c>
      <c r="G28" s="51" t="s">
        <v>240</v>
      </c>
      <c r="H28" s="44">
        <v>8</v>
      </c>
      <c r="I28" s="37"/>
      <c r="J28" s="37"/>
      <c r="K28" s="37" t="s">
        <v>341</v>
      </c>
      <c r="L28" s="49" t="s">
        <v>342</v>
      </c>
      <c r="M28" s="37" t="s">
        <v>222</v>
      </c>
      <c r="N28" s="39"/>
      <c r="O28" s="42" t="s">
        <v>343</v>
      </c>
      <c r="P28" s="39"/>
      <c r="Q28" s="53" t="s">
        <v>344</v>
      </c>
    </row>
    <row r="29" spans="1:17" ht="30">
      <c r="A29" s="102" t="s">
        <v>345</v>
      </c>
      <c r="B29" s="37"/>
      <c r="C29" s="37"/>
      <c r="D29" s="37"/>
      <c r="E29" s="58">
        <v>1</v>
      </c>
      <c r="F29" s="58">
        <v>1</v>
      </c>
      <c r="G29" s="37" t="s">
        <v>346</v>
      </c>
      <c r="H29" s="37">
        <v>9</v>
      </c>
      <c r="I29" s="37"/>
      <c r="J29" s="37" t="s">
        <v>347</v>
      </c>
      <c r="K29" s="37" t="s">
        <v>348</v>
      </c>
      <c r="L29" s="37" t="s">
        <v>349</v>
      </c>
      <c r="M29" s="37" t="s">
        <v>222</v>
      </c>
      <c r="N29" s="37"/>
      <c r="O29" s="37" t="s">
        <v>350</v>
      </c>
      <c r="P29" s="39"/>
      <c r="Q29" s="55" t="s">
        <v>351</v>
      </c>
    </row>
    <row r="30" spans="1:17" ht="45">
      <c r="A30" s="102" t="s">
        <v>352</v>
      </c>
      <c r="B30" s="37"/>
      <c r="C30" s="37"/>
      <c r="D30" s="37">
        <v>1</v>
      </c>
      <c r="E30" s="58">
        <v>1</v>
      </c>
      <c r="F30" s="58">
        <v>1</v>
      </c>
      <c r="G30" s="37" t="s">
        <v>212</v>
      </c>
      <c r="H30" s="37">
        <v>9</v>
      </c>
      <c r="I30" s="37"/>
      <c r="J30" s="37" t="s">
        <v>213</v>
      </c>
      <c r="K30" s="37" t="s">
        <v>353</v>
      </c>
      <c r="L30" s="59" t="s">
        <v>354</v>
      </c>
      <c r="M30" s="37" t="s">
        <v>202</v>
      </c>
      <c r="N30" s="37"/>
      <c r="O30" s="37" t="s">
        <v>355</v>
      </c>
      <c r="P30" s="39"/>
      <c r="Q30" s="60"/>
    </row>
    <row r="31" spans="1:17" ht="33" customHeight="1">
      <c r="A31" s="102" t="s">
        <v>356</v>
      </c>
      <c r="B31" s="37" t="s">
        <v>326</v>
      </c>
      <c r="C31" s="37"/>
      <c r="D31" s="37">
        <v>1</v>
      </c>
      <c r="E31" s="58">
        <v>1</v>
      </c>
      <c r="F31" s="58">
        <v>1</v>
      </c>
      <c r="G31" s="37" t="s">
        <v>357</v>
      </c>
      <c r="H31" s="37">
        <v>17.100000000000001</v>
      </c>
      <c r="I31" s="37"/>
      <c r="J31" s="37" t="s">
        <v>357</v>
      </c>
      <c r="K31" s="37" t="s">
        <v>358</v>
      </c>
      <c r="L31" s="37" t="s">
        <v>359</v>
      </c>
      <c r="M31" s="37" t="s">
        <v>202</v>
      </c>
      <c r="N31" s="37"/>
      <c r="O31" s="37" t="s">
        <v>360</v>
      </c>
      <c r="P31" s="51"/>
      <c r="Q31" s="53" t="s">
        <v>361</v>
      </c>
    </row>
    <row r="32" spans="1:17" ht="33" customHeight="1">
      <c r="A32" s="102" t="s">
        <v>362</v>
      </c>
      <c r="B32" s="51" t="s">
        <v>363</v>
      </c>
      <c r="C32" s="51"/>
      <c r="D32" s="51">
        <v>4</v>
      </c>
      <c r="E32" s="62">
        <v>1</v>
      </c>
      <c r="F32" s="62">
        <v>1</v>
      </c>
      <c r="G32" s="51" t="s">
        <v>240</v>
      </c>
      <c r="H32" s="44">
        <v>8</v>
      </c>
      <c r="I32" s="51"/>
      <c r="J32" s="51"/>
      <c r="K32" s="51" t="s">
        <v>364</v>
      </c>
      <c r="L32" s="63" t="s">
        <v>365</v>
      </c>
      <c r="M32" s="44" t="s">
        <v>209</v>
      </c>
      <c r="N32" s="51"/>
      <c r="O32" s="51" t="s">
        <v>366</v>
      </c>
      <c r="P32" s="64"/>
      <c r="Q32" s="65" t="s">
        <v>367</v>
      </c>
    </row>
    <row r="33" spans="1:17" ht="55" customHeight="1">
      <c r="A33" s="102" t="s">
        <v>368</v>
      </c>
      <c r="B33" s="51"/>
      <c r="C33" s="51"/>
      <c r="D33" s="51">
        <v>2</v>
      </c>
      <c r="E33" s="62">
        <v>1</v>
      </c>
      <c r="F33" s="62">
        <v>1</v>
      </c>
      <c r="G33" s="51" t="s">
        <v>369</v>
      </c>
      <c r="H33" s="44">
        <v>7</v>
      </c>
      <c r="I33" s="51"/>
      <c r="J33" s="51" t="s">
        <v>370</v>
      </c>
      <c r="K33" s="51" t="s">
        <v>371</v>
      </c>
      <c r="L33" s="66" t="s">
        <v>372</v>
      </c>
      <c r="M33" s="37" t="s">
        <v>202</v>
      </c>
      <c r="N33" s="64"/>
      <c r="O33" s="64" t="s">
        <v>373</v>
      </c>
      <c r="P33" s="67" t="s">
        <v>374</v>
      </c>
    </row>
    <row r="34" spans="1:17" ht="43" customHeight="1">
      <c r="A34" s="102" t="s">
        <v>375</v>
      </c>
      <c r="B34" s="44"/>
      <c r="C34" s="44"/>
      <c r="D34" s="44">
        <v>1</v>
      </c>
      <c r="E34" s="68">
        <v>1</v>
      </c>
      <c r="F34" s="68">
        <v>1</v>
      </c>
      <c r="G34" s="44" t="s">
        <v>240</v>
      </c>
      <c r="H34" s="44">
        <v>8</v>
      </c>
      <c r="I34" s="44"/>
      <c r="J34" s="44" t="s">
        <v>376</v>
      </c>
      <c r="K34" s="44" t="s">
        <v>377</v>
      </c>
      <c r="L34" s="63" t="s">
        <v>378</v>
      </c>
      <c r="M34" s="44" t="s">
        <v>202</v>
      </c>
      <c r="N34" s="39"/>
      <c r="O34" s="69" t="s">
        <v>379</v>
      </c>
      <c r="P34" s="67" t="s">
        <v>380</v>
      </c>
      <c r="Q34" s="70" t="s">
        <v>381</v>
      </c>
    </row>
    <row r="35" spans="1:17" ht="33" customHeight="1">
      <c r="A35" s="102" t="s">
        <v>382</v>
      </c>
      <c r="B35" s="44"/>
      <c r="C35" s="44"/>
      <c r="D35" s="44"/>
      <c r="E35" s="68">
        <v>1</v>
      </c>
      <c r="F35" s="68">
        <v>1</v>
      </c>
      <c r="G35" s="63" t="s">
        <v>240</v>
      </c>
      <c r="H35" s="44">
        <v>8</v>
      </c>
      <c r="I35" s="44"/>
      <c r="J35" s="44" t="s">
        <v>376</v>
      </c>
      <c r="K35" s="44" t="s">
        <v>377</v>
      </c>
      <c r="L35" s="44" t="s">
        <v>383</v>
      </c>
      <c r="M35" s="44" t="s">
        <v>209</v>
      </c>
      <c r="N35" s="39"/>
      <c r="O35" s="69" t="s">
        <v>384</v>
      </c>
      <c r="P35" s="67" t="s">
        <v>385</v>
      </c>
      <c r="Q35" s="70" t="s">
        <v>386</v>
      </c>
    </row>
    <row r="36" spans="1:17" ht="49" customHeight="1">
      <c r="A36" s="102" t="s">
        <v>387</v>
      </c>
      <c r="B36" s="44" t="s">
        <v>363</v>
      </c>
      <c r="C36" s="44"/>
      <c r="D36" s="44">
        <v>6</v>
      </c>
      <c r="E36" s="68">
        <v>1</v>
      </c>
      <c r="F36" s="68">
        <v>1</v>
      </c>
      <c r="G36" s="63" t="s">
        <v>388</v>
      </c>
      <c r="H36" s="44">
        <v>6.1</v>
      </c>
      <c r="I36" s="44"/>
      <c r="J36" s="44"/>
      <c r="K36" s="44" t="s">
        <v>389</v>
      </c>
      <c r="L36" s="63" t="s">
        <v>390</v>
      </c>
      <c r="M36" s="44" t="s">
        <v>391</v>
      </c>
      <c r="N36" s="39"/>
      <c r="O36" s="71" t="s">
        <v>392</v>
      </c>
      <c r="P36" s="39"/>
      <c r="Q36" s="72" t="s">
        <v>393</v>
      </c>
    </row>
    <row r="37" spans="1:17" ht="33" customHeight="1">
      <c r="A37" s="102" t="s">
        <v>394</v>
      </c>
      <c r="B37" s="51"/>
      <c r="C37" s="51"/>
      <c r="D37" s="51">
        <v>1</v>
      </c>
      <c r="E37" s="62">
        <v>1</v>
      </c>
      <c r="F37" s="62">
        <v>1</v>
      </c>
      <c r="G37" s="51" t="s">
        <v>309</v>
      </c>
      <c r="H37" s="51">
        <v>6.7</v>
      </c>
      <c r="I37" s="51"/>
      <c r="J37" s="51" t="s">
        <v>310</v>
      </c>
      <c r="K37" s="51" t="s">
        <v>395</v>
      </c>
      <c r="L37" s="63" t="s">
        <v>396</v>
      </c>
      <c r="M37" s="44" t="s">
        <v>202</v>
      </c>
      <c r="N37" s="51"/>
      <c r="O37" s="51" t="s">
        <v>397</v>
      </c>
      <c r="P37" s="39"/>
      <c r="Q37" s="73" t="s">
        <v>398</v>
      </c>
    </row>
    <row r="38" spans="1:17" ht="33" customHeight="1">
      <c r="A38" s="102" t="s">
        <v>399</v>
      </c>
      <c r="B38" s="51" t="s">
        <v>400</v>
      </c>
      <c r="C38" s="51"/>
      <c r="D38" s="51">
        <v>1</v>
      </c>
      <c r="E38" s="62">
        <v>1</v>
      </c>
      <c r="F38" s="62">
        <v>1</v>
      </c>
      <c r="G38" s="51" t="s">
        <v>401</v>
      </c>
      <c r="H38" s="51">
        <v>8.3000000000000007</v>
      </c>
      <c r="I38" s="51"/>
      <c r="J38" s="51" t="s">
        <v>402</v>
      </c>
      <c r="K38" s="51" t="s">
        <v>403</v>
      </c>
      <c r="L38" s="49" t="s">
        <v>404</v>
      </c>
      <c r="M38" s="36" t="s">
        <v>209</v>
      </c>
      <c r="N38" s="37"/>
      <c r="O38" s="37" t="s">
        <v>405</v>
      </c>
      <c r="P38" s="39"/>
      <c r="Q38" s="46" t="s">
        <v>406</v>
      </c>
    </row>
    <row r="39" spans="1:17" ht="33" customHeight="1">
      <c r="A39" s="102" t="s">
        <v>407</v>
      </c>
      <c r="B39" s="44"/>
      <c r="C39" s="44"/>
      <c r="D39" s="44"/>
      <c r="E39" s="68">
        <v>1</v>
      </c>
      <c r="F39" s="68">
        <v>1</v>
      </c>
      <c r="G39" s="61" t="s">
        <v>408</v>
      </c>
      <c r="H39" s="44">
        <v>5.2</v>
      </c>
      <c r="I39" s="44"/>
      <c r="J39" s="44" t="s">
        <v>409</v>
      </c>
      <c r="K39" s="44" t="s">
        <v>410</v>
      </c>
      <c r="L39" s="63" t="s">
        <v>411</v>
      </c>
      <c r="M39" s="44" t="s">
        <v>202</v>
      </c>
      <c r="N39" s="39"/>
      <c r="O39" s="39" t="s">
        <v>412</v>
      </c>
      <c r="P39" s="39"/>
      <c r="Q39" s="36" t="s">
        <v>413</v>
      </c>
    </row>
    <row r="40" spans="1:17" ht="33" customHeight="1">
      <c r="A40" s="102" t="s">
        <v>414</v>
      </c>
      <c r="B40" s="44"/>
      <c r="C40" s="44"/>
      <c r="D40" s="44"/>
      <c r="E40" s="68">
        <v>1</v>
      </c>
      <c r="F40" s="68">
        <v>1</v>
      </c>
      <c r="G40" s="44" t="s">
        <v>298</v>
      </c>
      <c r="H40" s="44">
        <v>15.1</v>
      </c>
      <c r="I40" s="44"/>
      <c r="J40" s="44"/>
      <c r="K40" s="44" t="s">
        <v>415</v>
      </c>
      <c r="L40" s="63" t="s">
        <v>416</v>
      </c>
      <c r="M40" s="74" t="s">
        <v>417</v>
      </c>
      <c r="N40" s="39"/>
      <c r="O40" s="71" t="s">
        <v>418</v>
      </c>
      <c r="P40" s="39"/>
      <c r="Q40" s="36"/>
    </row>
    <row r="41" spans="1:17" ht="33" customHeight="1">
      <c r="A41" s="102" t="s">
        <v>419</v>
      </c>
      <c r="B41" s="44"/>
      <c r="C41" s="44"/>
      <c r="D41" s="44"/>
      <c r="E41" s="68">
        <v>1</v>
      </c>
      <c r="F41" s="68">
        <v>1</v>
      </c>
      <c r="G41" s="44" t="s">
        <v>420</v>
      </c>
      <c r="H41" s="44">
        <v>7.5</v>
      </c>
      <c r="I41" s="44"/>
      <c r="J41" s="44" t="s">
        <v>421</v>
      </c>
      <c r="K41" s="44" t="s">
        <v>422</v>
      </c>
      <c r="L41" s="44" t="s">
        <v>423</v>
      </c>
      <c r="M41" s="44" t="s">
        <v>424</v>
      </c>
      <c r="N41" s="39" t="s">
        <v>425</v>
      </c>
      <c r="O41" s="39" t="s">
        <v>426</v>
      </c>
      <c r="P41" s="39"/>
      <c r="Q41" s="36"/>
    </row>
    <row r="42" spans="1:17" ht="56" customHeight="1">
      <c r="A42" s="102" t="s">
        <v>427</v>
      </c>
      <c r="B42" s="44" t="s">
        <v>363</v>
      </c>
      <c r="C42" s="44"/>
      <c r="D42" s="44"/>
      <c r="E42" s="68">
        <v>2</v>
      </c>
      <c r="F42" s="68">
        <v>1</v>
      </c>
      <c r="G42" s="44" t="s">
        <v>229</v>
      </c>
      <c r="H42" s="44">
        <v>4.5999999999999996</v>
      </c>
      <c r="I42" s="44"/>
      <c r="J42" s="44" t="s">
        <v>428</v>
      </c>
      <c r="K42" s="44" t="s">
        <v>429</v>
      </c>
      <c r="L42" s="63" t="s">
        <v>430</v>
      </c>
      <c r="M42" s="44" t="s">
        <v>391</v>
      </c>
      <c r="N42" s="39"/>
      <c r="O42" s="39" t="s">
        <v>431</v>
      </c>
      <c r="P42" s="39"/>
      <c r="Q42" s="52" t="s">
        <v>432</v>
      </c>
    </row>
    <row r="43" spans="1:17" ht="33" customHeight="1">
      <c r="A43" s="102" t="s">
        <v>433</v>
      </c>
      <c r="B43" s="37"/>
      <c r="C43" s="37"/>
      <c r="D43" s="37"/>
      <c r="E43" s="58">
        <v>2</v>
      </c>
      <c r="F43" s="58">
        <v>2</v>
      </c>
      <c r="G43" s="37" t="s">
        <v>434</v>
      </c>
      <c r="H43" s="37">
        <v>2.4</v>
      </c>
      <c r="I43" s="37"/>
      <c r="J43" s="37"/>
      <c r="K43" s="37" t="s">
        <v>435</v>
      </c>
      <c r="L43" s="37" t="s">
        <v>436</v>
      </c>
      <c r="M43" s="37" t="s">
        <v>222</v>
      </c>
      <c r="N43" s="37"/>
      <c r="O43" s="37" t="s">
        <v>437</v>
      </c>
      <c r="P43" s="39"/>
      <c r="Q43" s="36"/>
    </row>
    <row r="44" spans="1:17" ht="51" customHeight="1">
      <c r="A44" s="102" t="s">
        <v>438</v>
      </c>
      <c r="B44" s="44"/>
      <c r="C44" s="44"/>
      <c r="D44" s="44"/>
      <c r="E44" s="68">
        <v>3</v>
      </c>
      <c r="F44" s="68">
        <v>2</v>
      </c>
      <c r="G44" s="44" t="s">
        <v>439</v>
      </c>
      <c r="H44" s="44">
        <v>3</v>
      </c>
      <c r="I44" s="44"/>
      <c r="J44" s="44" t="s">
        <v>440</v>
      </c>
      <c r="K44" s="44" t="s">
        <v>441</v>
      </c>
      <c r="L44" s="44" t="s">
        <v>442</v>
      </c>
      <c r="M44" s="44" t="s">
        <v>424</v>
      </c>
      <c r="N44" s="39"/>
      <c r="O44" s="71" t="s">
        <v>443</v>
      </c>
      <c r="P44" s="39"/>
      <c r="Q44" s="52" t="s">
        <v>444</v>
      </c>
    </row>
    <row r="45" spans="1:17" ht="30">
      <c r="A45" s="102" t="s">
        <v>445</v>
      </c>
      <c r="B45" s="75"/>
      <c r="C45" s="44"/>
      <c r="D45" s="44"/>
      <c r="E45" s="68">
        <v>1</v>
      </c>
      <c r="F45" s="68">
        <v>1</v>
      </c>
      <c r="G45" s="44" t="s">
        <v>446</v>
      </c>
      <c r="H45" s="44">
        <v>4.5999999999999996</v>
      </c>
      <c r="I45" s="44"/>
      <c r="J45" s="44" t="s">
        <v>447</v>
      </c>
      <c r="K45" s="44" t="s">
        <v>448</v>
      </c>
      <c r="L45" s="66" t="s">
        <v>449</v>
      </c>
      <c r="M45" s="44" t="s">
        <v>424</v>
      </c>
      <c r="N45" s="39"/>
      <c r="O45" s="44" t="s">
        <v>450</v>
      </c>
      <c r="P45" s="39"/>
      <c r="Q45" s="36"/>
    </row>
    <row r="46" spans="1:17" ht="51" customHeight="1">
      <c r="A46" s="102" t="s">
        <v>451</v>
      </c>
      <c r="B46" s="75" t="s">
        <v>363</v>
      </c>
      <c r="C46" s="44"/>
      <c r="D46" s="44"/>
      <c r="E46" s="68">
        <v>1</v>
      </c>
      <c r="F46" s="68">
        <v>1</v>
      </c>
      <c r="G46" s="54" t="s">
        <v>240</v>
      </c>
      <c r="H46" s="44">
        <v>8.4</v>
      </c>
      <c r="I46" s="44"/>
      <c r="J46" s="44" t="s">
        <v>376</v>
      </c>
      <c r="K46" s="61" t="s">
        <v>452</v>
      </c>
      <c r="L46" s="63" t="s">
        <v>453</v>
      </c>
      <c r="M46" s="44" t="s">
        <v>391</v>
      </c>
      <c r="N46" s="76" t="s">
        <v>454</v>
      </c>
      <c r="O46" s="44" t="s">
        <v>455</v>
      </c>
      <c r="P46" s="39"/>
      <c r="Q46" s="52" t="s">
        <v>456</v>
      </c>
    </row>
    <row r="47" spans="1:17" ht="56" customHeight="1">
      <c r="A47" s="102" t="s">
        <v>457</v>
      </c>
      <c r="B47" s="75" t="s">
        <v>363</v>
      </c>
      <c r="C47" s="44"/>
      <c r="D47" s="44"/>
      <c r="E47" s="68">
        <v>2</v>
      </c>
      <c r="F47" s="68">
        <v>2</v>
      </c>
      <c r="G47" s="44" t="s">
        <v>249</v>
      </c>
      <c r="H47" s="44">
        <v>3.9</v>
      </c>
      <c r="I47" s="44"/>
      <c r="J47" s="44"/>
      <c r="K47" s="44" t="s">
        <v>458</v>
      </c>
      <c r="L47" s="44" t="s">
        <v>459</v>
      </c>
      <c r="M47" s="44" t="s">
        <v>209</v>
      </c>
      <c r="N47" s="39"/>
      <c r="O47" s="44" t="s">
        <v>460</v>
      </c>
      <c r="P47" s="39"/>
      <c r="Q47" s="52" t="s">
        <v>461</v>
      </c>
    </row>
    <row r="48" spans="1:17" ht="45">
      <c r="A48" s="102" t="s">
        <v>462</v>
      </c>
      <c r="B48" s="75" t="s">
        <v>363</v>
      </c>
      <c r="C48" s="75" t="s">
        <v>463</v>
      </c>
      <c r="D48" s="44"/>
      <c r="E48" s="68">
        <v>1</v>
      </c>
      <c r="F48" s="68">
        <v>1</v>
      </c>
      <c r="G48" s="54" t="s">
        <v>464</v>
      </c>
      <c r="H48" s="75" t="s">
        <v>465</v>
      </c>
      <c r="I48" s="44"/>
      <c r="J48" s="44" t="s">
        <v>466</v>
      </c>
      <c r="K48" s="44" t="s">
        <v>467</v>
      </c>
      <c r="L48" s="44" t="s">
        <v>468</v>
      </c>
      <c r="M48" s="44" t="s">
        <v>391</v>
      </c>
      <c r="N48" s="44" t="s">
        <v>425</v>
      </c>
      <c r="O48" s="44" t="s">
        <v>469</v>
      </c>
      <c r="P48" s="39"/>
      <c r="Q48" s="52" t="s">
        <v>470</v>
      </c>
    </row>
    <row r="49" spans="1:17" ht="64" customHeight="1">
      <c r="A49" s="102" t="s">
        <v>471</v>
      </c>
      <c r="B49" s="75" t="s">
        <v>363</v>
      </c>
      <c r="C49" s="44"/>
      <c r="D49" s="44"/>
      <c r="E49" s="68">
        <v>3</v>
      </c>
      <c r="F49" s="68">
        <v>2</v>
      </c>
      <c r="G49" s="44" t="s">
        <v>472</v>
      </c>
      <c r="H49" s="44">
        <v>2.7</v>
      </c>
      <c r="I49" s="44"/>
      <c r="J49" s="44"/>
      <c r="K49" s="44" t="s">
        <v>473</v>
      </c>
      <c r="L49" s="44" t="s">
        <v>474</v>
      </c>
      <c r="M49" s="44" t="s">
        <v>424</v>
      </c>
      <c r="N49" s="44"/>
      <c r="O49" s="44" t="s">
        <v>475</v>
      </c>
      <c r="P49" s="39"/>
      <c r="Q49" s="52" t="s">
        <v>476</v>
      </c>
    </row>
    <row r="50" spans="1:17" ht="45" customHeight="1">
      <c r="A50" s="106" t="s">
        <v>477</v>
      </c>
      <c r="B50" s="77"/>
      <c r="C50" s="77" t="s">
        <v>478</v>
      </c>
      <c r="D50" s="39"/>
      <c r="E50" s="68">
        <v>2</v>
      </c>
      <c r="F50" s="68">
        <v>1</v>
      </c>
      <c r="G50" s="44" t="s">
        <v>479</v>
      </c>
      <c r="H50" s="44">
        <v>4.3</v>
      </c>
      <c r="I50" s="44">
        <v>4.3250000000000002</v>
      </c>
      <c r="J50" s="44"/>
      <c r="K50" s="44" t="s">
        <v>480</v>
      </c>
      <c r="L50" s="63" t="s">
        <v>481</v>
      </c>
      <c r="M50" s="44" t="s">
        <v>424</v>
      </c>
      <c r="N50" s="44" t="s">
        <v>454</v>
      </c>
      <c r="O50" s="44" t="s">
        <v>482</v>
      </c>
      <c r="P50" s="39"/>
      <c r="Q50" s="52" t="s">
        <v>483</v>
      </c>
    </row>
    <row r="51" spans="1:17" ht="45" customHeight="1">
      <c r="A51" s="106" t="s">
        <v>484</v>
      </c>
      <c r="B51" s="77"/>
      <c r="C51" s="39"/>
      <c r="D51" s="39"/>
      <c r="E51" s="68">
        <v>3</v>
      </c>
      <c r="F51" s="68">
        <v>3</v>
      </c>
      <c r="G51" s="44" t="s">
        <v>485</v>
      </c>
      <c r="H51" s="44">
        <v>2.9</v>
      </c>
      <c r="I51" s="78"/>
      <c r="J51" s="44"/>
      <c r="K51" s="44" t="s">
        <v>486</v>
      </c>
      <c r="L51" s="44" t="s">
        <v>487</v>
      </c>
      <c r="M51" s="44" t="s">
        <v>424</v>
      </c>
      <c r="N51" s="44"/>
      <c r="O51" s="44" t="s">
        <v>488</v>
      </c>
      <c r="P51" s="39"/>
      <c r="Q51" s="52" t="s">
        <v>489</v>
      </c>
    </row>
    <row r="52" spans="1:17" ht="56" customHeight="1">
      <c r="A52" s="106" t="s">
        <v>490</v>
      </c>
      <c r="B52" s="77" t="s">
        <v>491</v>
      </c>
      <c r="C52" s="39"/>
      <c r="D52" s="39"/>
      <c r="E52" s="68">
        <v>2</v>
      </c>
      <c r="F52" s="68">
        <v>1</v>
      </c>
      <c r="G52" s="44" t="s">
        <v>492</v>
      </c>
      <c r="H52" s="36">
        <v>4</v>
      </c>
      <c r="I52" s="40"/>
      <c r="J52" s="44"/>
      <c r="K52" s="44" t="s">
        <v>486</v>
      </c>
      <c r="L52" s="63" t="s">
        <v>493</v>
      </c>
      <c r="M52" s="44" t="s">
        <v>391</v>
      </c>
      <c r="N52" s="44" t="s">
        <v>454</v>
      </c>
      <c r="O52" s="44" t="s">
        <v>494</v>
      </c>
      <c r="P52" s="39"/>
      <c r="Q52" s="36" t="s">
        <v>495</v>
      </c>
    </row>
    <row r="53" spans="1:17" ht="56" customHeight="1">
      <c r="A53" s="106" t="s">
        <v>496</v>
      </c>
      <c r="B53" s="77"/>
      <c r="C53" s="39"/>
      <c r="D53" s="39"/>
      <c r="E53" s="68">
        <v>3</v>
      </c>
      <c r="F53" s="68">
        <v>2</v>
      </c>
      <c r="G53" s="44" t="s">
        <v>497</v>
      </c>
      <c r="H53" s="44">
        <v>4.2</v>
      </c>
      <c r="I53" s="44"/>
      <c r="J53" s="44"/>
      <c r="K53" s="44" t="s">
        <v>498</v>
      </c>
      <c r="L53" s="44" t="s">
        <v>499</v>
      </c>
      <c r="M53" s="44" t="s">
        <v>424</v>
      </c>
      <c r="N53" s="44"/>
      <c r="O53" s="44" t="s">
        <v>500</v>
      </c>
      <c r="P53" s="39"/>
    </row>
    <row r="54" spans="1:17" ht="37" customHeight="1">
      <c r="A54" s="106" t="s">
        <v>501</v>
      </c>
      <c r="B54" s="77"/>
      <c r="C54" s="39"/>
      <c r="D54" s="39"/>
      <c r="E54" s="68">
        <v>3</v>
      </c>
      <c r="F54" s="68">
        <v>2</v>
      </c>
      <c r="G54" s="44" t="s">
        <v>497</v>
      </c>
      <c r="H54" s="44">
        <v>4.2</v>
      </c>
      <c r="I54" s="44"/>
      <c r="J54" s="44"/>
      <c r="K54" s="44" t="s">
        <v>502</v>
      </c>
      <c r="L54" s="44" t="s">
        <v>503</v>
      </c>
      <c r="M54" s="44" t="s">
        <v>424</v>
      </c>
      <c r="N54" s="44"/>
      <c r="O54" s="44" t="s">
        <v>504</v>
      </c>
      <c r="P54" s="39"/>
      <c r="Q54" s="72" t="s">
        <v>505</v>
      </c>
    </row>
    <row r="55" spans="1:17" ht="48" customHeight="1">
      <c r="A55" s="106" t="s">
        <v>506</v>
      </c>
      <c r="B55" s="77"/>
      <c r="C55" s="39"/>
      <c r="D55" s="39"/>
      <c r="E55" s="68">
        <v>3</v>
      </c>
      <c r="F55" s="68">
        <v>2</v>
      </c>
      <c r="G55" s="44" t="s">
        <v>472</v>
      </c>
      <c r="H55" s="44">
        <v>2.7</v>
      </c>
      <c r="I55" s="44"/>
      <c r="J55" s="44"/>
      <c r="K55" s="44" t="s">
        <v>507</v>
      </c>
      <c r="L55" s="44" t="s">
        <v>508</v>
      </c>
      <c r="M55" s="44" t="s">
        <v>424</v>
      </c>
      <c r="N55" s="44"/>
      <c r="O55" s="44" t="s">
        <v>509</v>
      </c>
    </row>
    <row r="56" spans="1:17" ht="51" customHeight="1">
      <c r="A56" s="106" t="s">
        <v>510</v>
      </c>
      <c r="B56" s="79" t="s">
        <v>511</v>
      </c>
      <c r="C56" s="80"/>
      <c r="D56" s="80"/>
      <c r="E56" s="68">
        <v>1</v>
      </c>
      <c r="F56" s="68">
        <v>1</v>
      </c>
      <c r="G56" s="44" t="s">
        <v>298</v>
      </c>
      <c r="H56" s="44">
        <v>15.1</v>
      </c>
      <c r="I56" s="44">
        <v>16.744</v>
      </c>
      <c r="J56" s="44" t="s">
        <v>512</v>
      </c>
      <c r="K56" s="44" t="s">
        <v>513</v>
      </c>
      <c r="L56" s="63" t="s">
        <v>514</v>
      </c>
      <c r="M56" s="44" t="s">
        <v>515</v>
      </c>
      <c r="N56" s="44" t="s">
        <v>425</v>
      </c>
      <c r="O56" s="44" t="s">
        <v>516</v>
      </c>
      <c r="P56" s="81" t="s">
        <v>517</v>
      </c>
      <c r="Q56" s="81" t="s">
        <v>518</v>
      </c>
    </row>
    <row r="57" spans="1:17" ht="51" customHeight="1">
      <c r="A57" s="106" t="s">
        <v>519</v>
      </c>
      <c r="B57" s="79" t="s">
        <v>326</v>
      </c>
      <c r="C57" s="79" t="s">
        <v>520</v>
      </c>
      <c r="D57" s="80"/>
      <c r="E57" s="68">
        <v>2</v>
      </c>
      <c r="F57" s="68">
        <v>1</v>
      </c>
      <c r="G57" s="44" t="s">
        <v>521</v>
      </c>
      <c r="H57" s="44">
        <v>5.2</v>
      </c>
      <c r="I57" s="44"/>
      <c r="J57" s="44"/>
      <c r="K57" s="44" t="s">
        <v>522</v>
      </c>
      <c r="L57" s="63" t="s">
        <v>523</v>
      </c>
      <c r="M57" s="44" t="s">
        <v>424</v>
      </c>
      <c r="N57" s="44" t="s">
        <v>425</v>
      </c>
      <c r="O57" s="44" t="s">
        <v>524</v>
      </c>
      <c r="P57" s="39"/>
    </row>
    <row r="58" spans="1:17" ht="51" customHeight="1">
      <c r="A58" s="106" t="s">
        <v>525</v>
      </c>
      <c r="B58" s="79"/>
      <c r="C58" s="80"/>
      <c r="D58" s="80"/>
      <c r="E58" s="68">
        <v>3</v>
      </c>
      <c r="F58" s="68">
        <v>4</v>
      </c>
      <c r="G58" s="44" t="s">
        <v>526</v>
      </c>
      <c r="H58" s="44">
        <v>1.2</v>
      </c>
      <c r="I58" s="44"/>
      <c r="J58" s="44" t="s">
        <v>527</v>
      </c>
      <c r="K58" s="44" t="s">
        <v>528</v>
      </c>
      <c r="L58" s="44" t="s">
        <v>529</v>
      </c>
      <c r="M58" s="44" t="s">
        <v>391</v>
      </c>
      <c r="N58" s="44"/>
      <c r="O58" s="44" t="s">
        <v>530</v>
      </c>
      <c r="P58" s="39"/>
    </row>
    <row r="59" spans="1:17" ht="45">
      <c r="A59" s="106" t="s">
        <v>531</v>
      </c>
      <c r="B59" s="79"/>
      <c r="C59" s="80"/>
      <c r="D59" s="80"/>
      <c r="E59" s="68">
        <v>2</v>
      </c>
      <c r="F59" s="68">
        <v>1</v>
      </c>
      <c r="G59" s="44" t="s">
        <v>492</v>
      </c>
      <c r="H59" s="40">
        <v>2.9950000000000001</v>
      </c>
      <c r="I59" s="40">
        <v>2.9950000000000001</v>
      </c>
      <c r="J59" s="44"/>
      <c r="K59" s="44" t="s">
        <v>532</v>
      </c>
      <c r="L59" s="63" t="s">
        <v>533</v>
      </c>
      <c r="M59" s="44" t="s">
        <v>424</v>
      </c>
      <c r="N59" s="44" t="s">
        <v>454</v>
      </c>
      <c r="O59" s="44" t="s">
        <v>534</v>
      </c>
      <c r="P59" s="39"/>
    </row>
    <row r="60" spans="1:17" ht="42" customHeight="1">
      <c r="A60" s="106" t="s">
        <v>535</v>
      </c>
      <c r="B60" s="79" t="s">
        <v>536</v>
      </c>
      <c r="C60" s="80"/>
      <c r="D60" s="80"/>
      <c r="E60" s="68">
        <v>1</v>
      </c>
      <c r="F60" s="68">
        <v>1</v>
      </c>
      <c r="G60" s="44" t="s">
        <v>537</v>
      </c>
      <c r="H60" s="44">
        <v>7.4</v>
      </c>
      <c r="I60" s="44">
        <v>8.0350000000000001</v>
      </c>
      <c r="J60" s="44"/>
      <c r="K60" s="44" t="s">
        <v>538</v>
      </c>
      <c r="L60" s="44" t="s">
        <v>539</v>
      </c>
      <c r="M60" s="44" t="s">
        <v>391</v>
      </c>
      <c r="N60" s="44" t="s">
        <v>454</v>
      </c>
      <c r="O60" s="44" t="s">
        <v>540</v>
      </c>
      <c r="P60" s="39"/>
    </row>
    <row r="61" spans="1:17" ht="45">
      <c r="A61" s="106" t="s">
        <v>541</v>
      </c>
      <c r="B61" s="79" t="s">
        <v>542</v>
      </c>
      <c r="C61" s="80"/>
      <c r="D61" s="80"/>
      <c r="E61" s="68">
        <v>1</v>
      </c>
      <c r="F61" s="68">
        <v>1</v>
      </c>
      <c r="G61" s="44" t="s">
        <v>543</v>
      </c>
      <c r="H61" s="44">
        <v>13.6</v>
      </c>
      <c r="I61" s="44">
        <v>14.224</v>
      </c>
      <c r="J61" s="44" t="s">
        <v>544</v>
      </c>
      <c r="K61" s="44" t="s">
        <v>545</v>
      </c>
      <c r="L61" s="63" t="s">
        <v>546</v>
      </c>
      <c r="M61" s="44" t="s">
        <v>424</v>
      </c>
      <c r="N61" s="44" t="s">
        <v>454</v>
      </c>
      <c r="O61" s="44" t="s">
        <v>547</v>
      </c>
      <c r="P61" s="39"/>
      <c r="Q61" s="82" t="s">
        <v>548</v>
      </c>
    </row>
    <row r="62" spans="1:17" ht="45">
      <c r="A62" s="106" t="s">
        <v>549</v>
      </c>
      <c r="B62" s="79"/>
      <c r="C62" s="80"/>
      <c r="D62" s="80"/>
      <c r="E62" s="68">
        <v>3</v>
      </c>
      <c r="F62" s="68">
        <v>3</v>
      </c>
      <c r="G62" s="44" t="s">
        <v>550</v>
      </c>
      <c r="H62" s="44">
        <v>3.2519999999999998</v>
      </c>
      <c r="I62" s="44"/>
      <c r="J62" s="44"/>
      <c r="K62" s="44" t="s">
        <v>551</v>
      </c>
      <c r="L62" s="44" t="s">
        <v>552</v>
      </c>
      <c r="M62" s="44" t="s">
        <v>424</v>
      </c>
      <c r="N62" s="44" t="s">
        <v>454</v>
      </c>
      <c r="O62" s="44" t="s">
        <v>553</v>
      </c>
      <c r="P62" s="39"/>
    </row>
    <row r="63" spans="1:17" ht="43.5" customHeight="1">
      <c r="A63" s="106" t="s">
        <v>554</v>
      </c>
      <c r="B63" s="79" t="s">
        <v>555</v>
      </c>
      <c r="C63" s="80"/>
      <c r="D63" s="80"/>
      <c r="E63" s="68">
        <v>2</v>
      </c>
      <c r="F63" s="68">
        <v>1</v>
      </c>
      <c r="G63" s="40" t="s">
        <v>492</v>
      </c>
      <c r="H63" s="40">
        <v>2.9950000000000001</v>
      </c>
      <c r="I63" s="40"/>
      <c r="J63" s="44"/>
      <c r="K63" s="44" t="s">
        <v>556</v>
      </c>
      <c r="L63" s="44" t="s">
        <v>557</v>
      </c>
      <c r="M63" s="44" t="s">
        <v>391</v>
      </c>
      <c r="N63" s="40" t="s">
        <v>558</v>
      </c>
      <c r="O63" s="44" t="s">
        <v>559</v>
      </c>
      <c r="P63" s="39"/>
    </row>
    <row r="64" spans="1:17" ht="60" customHeight="1">
      <c r="A64" s="106" t="s">
        <v>560</v>
      </c>
      <c r="B64" s="79"/>
      <c r="C64" s="80"/>
      <c r="D64" s="80"/>
      <c r="E64" s="68">
        <v>3</v>
      </c>
      <c r="F64" s="68">
        <v>2</v>
      </c>
      <c r="G64" s="44" t="s">
        <v>561</v>
      </c>
      <c r="H64" s="44">
        <v>2.8380000000000001</v>
      </c>
      <c r="I64" s="44"/>
      <c r="J64" s="44" t="s">
        <v>562</v>
      </c>
      <c r="K64" s="44" t="s">
        <v>563</v>
      </c>
      <c r="L64" s="44" t="s">
        <v>564</v>
      </c>
      <c r="M64" s="44" t="s">
        <v>391</v>
      </c>
      <c r="N64" s="44" t="s">
        <v>565</v>
      </c>
      <c r="O64" s="44" t="s">
        <v>566</v>
      </c>
      <c r="P64" s="81" t="s">
        <v>567</v>
      </c>
    </row>
    <row r="65" spans="1:16" ht="41.25" customHeight="1">
      <c r="A65" s="106" t="s">
        <v>568</v>
      </c>
      <c r="B65" s="79"/>
      <c r="C65" s="80"/>
      <c r="D65" s="80"/>
      <c r="E65" s="68">
        <v>2</v>
      </c>
      <c r="F65" s="68">
        <v>1</v>
      </c>
      <c r="G65" s="68" t="s">
        <v>479</v>
      </c>
      <c r="H65" s="44">
        <v>3.3010000000000002</v>
      </c>
      <c r="I65" s="44">
        <v>4.3250000000000002</v>
      </c>
      <c r="J65" s="44" t="s">
        <v>569</v>
      </c>
      <c r="K65" s="44" t="s">
        <v>570</v>
      </c>
      <c r="L65" s="44" t="s">
        <v>571</v>
      </c>
      <c r="M65" s="44" t="s">
        <v>391</v>
      </c>
      <c r="N65" s="44" t="s">
        <v>454</v>
      </c>
      <c r="O65" s="44" t="s">
        <v>572</v>
      </c>
      <c r="P65" s="39"/>
    </row>
    <row r="66" spans="1:16" ht="51.75" customHeight="1">
      <c r="A66" s="106" t="s">
        <v>573</v>
      </c>
      <c r="B66" s="79"/>
      <c r="C66" s="80"/>
      <c r="D66" s="80"/>
      <c r="E66" s="68">
        <v>2</v>
      </c>
      <c r="F66" s="68">
        <v>1</v>
      </c>
      <c r="G66" s="44" t="s">
        <v>574</v>
      </c>
      <c r="H66" s="44">
        <v>4.3289999999999997</v>
      </c>
      <c r="I66" s="44">
        <v>4.9669999999999996</v>
      </c>
      <c r="J66" s="44"/>
      <c r="K66" s="44" t="s">
        <v>575</v>
      </c>
      <c r="L66" s="44" t="s">
        <v>576</v>
      </c>
      <c r="M66" s="44" t="s">
        <v>391</v>
      </c>
      <c r="N66" s="40" t="s">
        <v>558</v>
      </c>
      <c r="O66" s="44" t="s">
        <v>577</v>
      </c>
      <c r="P66" s="39"/>
    </row>
    <row r="67" spans="1:16" ht="45">
      <c r="A67" s="106" t="s">
        <v>578</v>
      </c>
      <c r="B67" s="79"/>
      <c r="C67" s="80"/>
      <c r="D67" s="80"/>
      <c r="E67" s="68">
        <v>4</v>
      </c>
      <c r="F67" s="68">
        <v>3</v>
      </c>
      <c r="G67" s="44" t="s">
        <v>579</v>
      </c>
      <c r="H67" s="83">
        <v>2.137</v>
      </c>
      <c r="I67" s="83">
        <v>2.3359999999999999</v>
      </c>
      <c r="J67" s="83"/>
      <c r="K67" s="40" t="s">
        <v>580</v>
      </c>
      <c r="L67" s="40" t="s">
        <v>581</v>
      </c>
      <c r="M67" s="40" t="s">
        <v>582</v>
      </c>
      <c r="N67" s="40" t="s">
        <v>583</v>
      </c>
      <c r="O67" s="40" t="s">
        <v>584</v>
      </c>
      <c r="P67" s="80"/>
    </row>
    <row r="68" spans="1:16" ht="86" customHeight="1">
      <c r="A68" s="106" t="s">
        <v>585</v>
      </c>
      <c r="B68" s="79"/>
      <c r="C68" s="80"/>
      <c r="D68" s="80"/>
      <c r="E68" s="68">
        <v>2</v>
      </c>
      <c r="F68" s="68">
        <v>1</v>
      </c>
      <c r="G68" s="44" t="s">
        <v>492</v>
      </c>
      <c r="H68" s="44">
        <v>2.6819999999999999</v>
      </c>
      <c r="I68" s="44"/>
      <c r="J68" s="44"/>
      <c r="K68" s="40" t="s">
        <v>586</v>
      </c>
      <c r="L68" s="44" t="s">
        <v>587</v>
      </c>
      <c r="M68" s="44" t="s">
        <v>582</v>
      </c>
      <c r="N68" s="40" t="s">
        <v>558</v>
      </c>
      <c r="O68" s="44" t="s">
        <v>588</v>
      </c>
      <c r="P68" s="39"/>
    </row>
    <row r="69" spans="1:16" ht="39" customHeight="1">
      <c r="A69" s="106" t="s">
        <v>589</v>
      </c>
      <c r="B69" s="79"/>
      <c r="C69" s="80"/>
      <c r="D69" s="80"/>
      <c r="E69" s="84">
        <v>2</v>
      </c>
      <c r="F69" s="84">
        <v>1</v>
      </c>
      <c r="G69" s="40" t="s">
        <v>590</v>
      </c>
      <c r="H69" s="44">
        <v>2.6819999999999999</v>
      </c>
      <c r="I69" s="40"/>
      <c r="J69" s="40"/>
      <c r="K69" s="40" t="s">
        <v>591</v>
      </c>
      <c r="L69" s="40" t="s">
        <v>592</v>
      </c>
      <c r="M69" s="40" t="s">
        <v>582</v>
      </c>
      <c r="N69" s="40" t="s">
        <v>558</v>
      </c>
      <c r="O69" s="40" t="s">
        <v>593</v>
      </c>
      <c r="P69" s="39"/>
    </row>
    <row r="70" spans="1:16" ht="47.25" customHeight="1">
      <c r="A70" s="106" t="s">
        <v>594</v>
      </c>
      <c r="B70" s="79" t="s">
        <v>595</v>
      </c>
      <c r="C70" s="80"/>
      <c r="D70" s="80"/>
      <c r="E70" s="84">
        <v>1</v>
      </c>
      <c r="F70" s="84">
        <v>1</v>
      </c>
      <c r="G70" s="40" t="s">
        <v>596</v>
      </c>
      <c r="H70" s="40">
        <v>5.3159999999999998</v>
      </c>
      <c r="I70" s="40">
        <v>6.3710000000000004</v>
      </c>
      <c r="J70" s="40" t="s">
        <v>597</v>
      </c>
      <c r="K70" s="40" t="s">
        <v>598</v>
      </c>
      <c r="L70" s="40" t="s">
        <v>599</v>
      </c>
      <c r="M70" s="40" t="s">
        <v>600</v>
      </c>
      <c r="N70" s="40" t="s">
        <v>558</v>
      </c>
      <c r="O70" s="85" t="s">
        <v>601</v>
      </c>
      <c r="P70" s="39"/>
    </row>
    <row r="71" spans="1:16" ht="62.25" customHeight="1">
      <c r="A71" s="106" t="s">
        <v>602</v>
      </c>
      <c r="B71" s="79"/>
      <c r="C71" s="80"/>
      <c r="D71" s="80"/>
      <c r="E71" s="84">
        <v>4</v>
      </c>
      <c r="F71" s="84">
        <v>3</v>
      </c>
      <c r="G71" s="40" t="s">
        <v>603</v>
      </c>
      <c r="H71" s="40">
        <v>2.464</v>
      </c>
      <c r="I71" s="40">
        <v>2.613</v>
      </c>
      <c r="J71" s="40"/>
      <c r="K71" s="40" t="s">
        <v>591</v>
      </c>
      <c r="L71" s="40" t="s">
        <v>604</v>
      </c>
      <c r="M71" s="86" t="s">
        <v>605</v>
      </c>
      <c r="N71" s="40" t="s">
        <v>583</v>
      </c>
      <c r="O71" s="85" t="s">
        <v>606</v>
      </c>
      <c r="P71" s="39"/>
    </row>
    <row r="72" spans="1:16" ht="41.25" customHeight="1">
      <c r="A72" s="106" t="s">
        <v>607</v>
      </c>
      <c r="B72" s="79"/>
      <c r="C72" s="80"/>
      <c r="D72" s="80"/>
      <c r="E72" s="84">
        <v>2</v>
      </c>
      <c r="F72" s="84">
        <v>1</v>
      </c>
      <c r="G72" s="40" t="s">
        <v>608</v>
      </c>
      <c r="H72" s="40">
        <v>3.7839999999999998</v>
      </c>
      <c r="I72" s="40">
        <v>4.7149999999999999</v>
      </c>
      <c r="J72" s="40" t="s">
        <v>609</v>
      </c>
      <c r="K72" s="40" t="s">
        <v>610</v>
      </c>
      <c r="L72" s="40" t="s">
        <v>611</v>
      </c>
      <c r="M72" s="86" t="s">
        <v>605</v>
      </c>
      <c r="N72" s="40" t="s">
        <v>558</v>
      </c>
      <c r="O72" s="85" t="s">
        <v>612</v>
      </c>
      <c r="P72" s="39"/>
    </row>
    <row r="73" spans="1:16" ht="37.5" customHeight="1">
      <c r="A73" s="107" t="s">
        <v>613</v>
      </c>
      <c r="B73" s="79"/>
      <c r="C73" s="80"/>
      <c r="D73" s="80"/>
      <c r="E73" s="84">
        <v>2</v>
      </c>
      <c r="F73" s="84">
        <v>2</v>
      </c>
      <c r="G73" s="40" t="s">
        <v>614</v>
      </c>
      <c r="H73" s="87">
        <v>3.99</v>
      </c>
      <c r="I73" s="87">
        <v>5.5179999999999998</v>
      </c>
      <c r="J73" s="40" t="s">
        <v>615</v>
      </c>
      <c r="K73" s="40" t="s">
        <v>616</v>
      </c>
      <c r="L73" s="88" t="s">
        <v>617</v>
      </c>
      <c r="M73" s="86" t="s">
        <v>618</v>
      </c>
      <c r="N73" s="85" t="s">
        <v>619</v>
      </c>
      <c r="O73" s="85" t="s">
        <v>620</v>
      </c>
      <c r="P73" s="39"/>
    </row>
    <row r="74" spans="1:16" ht="56.25" customHeight="1">
      <c r="A74" s="107" t="s">
        <v>621</v>
      </c>
      <c r="B74" s="79" t="s">
        <v>622</v>
      </c>
      <c r="C74" s="80"/>
      <c r="D74" s="80"/>
      <c r="E74" s="84">
        <v>1</v>
      </c>
      <c r="F74" s="84">
        <v>1</v>
      </c>
      <c r="G74" s="40" t="s">
        <v>623</v>
      </c>
      <c r="H74" s="87">
        <v>5.1619999999999999</v>
      </c>
      <c r="I74" s="87">
        <v>8.0250000000000004</v>
      </c>
      <c r="J74" s="40" t="s">
        <v>624</v>
      </c>
      <c r="K74" s="40" t="s">
        <v>625</v>
      </c>
      <c r="L74" s="40" t="s">
        <v>626</v>
      </c>
      <c r="M74" s="86" t="s">
        <v>627</v>
      </c>
      <c r="N74" s="85" t="s">
        <v>583</v>
      </c>
      <c r="O74" s="85" t="s">
        <v>628</v>
      </c>
      <c r="P74" s="39"/>
    </row>
    <row r="75" spans="1:16" ht="66" customHeight="1">
      <c r="A75" s="108" t="s">
        <v>629</v>
      </c>
      <c r="B75" s="79"/>
      <c r="C75" s="80"/>
      <c r="D75" s="80"/>
      <c r="E75" s="84">
        <v>4</v>
      </c>
      <c r="F75" s="84">
        <v>3</v>
      </c>
      <c r="G75" s="40" t="s">
        <v>630</v>
      </c>
      <c r="H75" s="40">
        <v>2.2450000000000001</v>
      </c>
      <c r="I75" s="40">
        <v>2.6360000000000001</v>
      </c>
      <c r="J75" s="40" t="s">
        <v>631</v>
      </c>
      <c r="K75" s="40" t="s">
        <v>632</v>
      </c>
      <c r="L75" s="88" t="s">
        <v>633</v>
      </c>
      <c r="M75" s="86" t="s">
        <v>627</v>
      </c>
      <c r="N75" s="85" t="s">
        <v>619</v>
      </c>
      <c r="O75" s="85" t="s">
        <v>634</v>
      </c>
      <c r="P75" s="39"/>
    </row>
    <row r="76" spans="1:16" ht="38.25" customHeight="1">
      <c r="A76" s="102" t="s">
        <v>635</v>
      </c>
      <c r="B76" s="79"/>
      <c r="C76" s="80"/>
      <c r="D76" s="80"/>
      <c r="E76" s="89">
        <v>3</v>
      </c>
      <c r="F76" s="89">
        <v>2</v>
      </c>
      <c r="G76" s="40" t="s">
        <v>636</v>
      </c>
      <c r="H76" s="90">
        <v>2.74</v>
      </c>
      <c r="I76" s="90">
        <v>3.7519999999999998</v>
      </c>
      <c r="J76" s="40" t="s">
        <v>637</v>
      </c>
      <c r="K76" s="40" t="s">
        <v>638</v>
      </c>
      <c r="L76" s="40" t="s">
        <v>639</v>
      </c>
      <c r="M76" s="86" t="s">
        <v>627</v>
      </c>
      <c r="N76" s="85" t="s">
        <v>583</v>
      </c>
      <c r="O76" s="85" t="s">
        <v>640</v>
      </c>
      <c r="P76" s="39"/>
    </row>
    <row r="77" spans="1:16" ht="48.75" customHeight="1">
      <c r="A77" s="108" t="s">
        <v>641</v>
      </c>
      <c r="B77" s="79"/>
      <c r="C77" s="80"/>
      <c r="D77" s="80"/>
      <c r="E77" s="84">
        <v>3</v>
      </c>
      <c r="F77" s="84">
        <v>2</v>
      </c>
      <c r="G77" s="40" t="s">
        <v>642</v>
      </c>
      <c r="H77" s="40">
        <v>3.7450000000000001</v>
      </c>
      <c r="I77" s="40">
        <v>3.476</v>
      </c>
      <c r="J77" s="40" t="s">
        <v>643</v>
      </c>
      <c r="K77" s="40" t="s">
        <v>644</v>
      </c>
      <c r="L77" s="88" t="s">
        <v>645</v>
      </c>
      <c r="M77" s="86" t="s">
        <v>627</v>
      </c>
      <c r="N77" s="85" t="s">
        <v>619</v>
      </c>
      <c r="O77" s="85" t="s">
        <v>646</v>
      </c>
      <c r="P77" s="39"/>
    </row>
    <row r="78" spans="1:16" ht="74.25" customHeight="1">
      <c r="A78" s="109" t="s">
        <v>647</v>
      </c>
      <c r="B78" s="79"/>
      <c r="C78" s="80"/>
      <c r="D78" s="80"/>
      <c r="E78" s="91">
        <v>2</v>
      </c>
      <c r="F78" s="91">
        <v>1</v>
      </c>
      <c r="G78" s="92" t="s">
        <v>590</v>
      </c>
      <c r="H78" s="93">
        <v>2.4630000000000001</v>
      </c>
      <c r="I78" s="93"/>
      <c r="J78" s="92" t="s">
        <v>648</v>
      </c>
      <c r="K78" s="40" t="s">
        <v>649</v>
      </c>
      <c r="L78" s="92" t="s">
        <v>650</v>
      </c>
      <c r="M78" s="86" t="s">
        <v>627</v>
      </c>
      <c r="N78" s="92" t="s">
        <v>619</v>
      </c>
      <c r="O78" s="94" t="s">
        <v>651</v>
      </c>
      <c r="P78" s="39"/>
    </row>
    <row r="79" spans="1:16" ht="54" customHeight="1">
      <c r="A79" s="109" t="s">
        <v>652</v>
      </c>
      <c r="B79" s="79" t="s">
        <v>653</v>
      </c>
      <c r="C79" s="80"/>
      <c r="D79" s="80"/>
      <c r="E79" s="91">
        <v>2</v>
      </c>
      <c r="F79" s="91">
        <v>1</v>
      </c>
      <c r="G79" s="92" t="s">
        <v>590</v>
      </c>
      <c r="H79" s="93">
        <v>2.4630000000000001</v>
      </c>
      <c r="I79" s="93"/>
      <c r="J79" s="92" t="s">
        <v>648</v>
      </c>
      <c r="K79" s="40" t="s">
        <v>186</v>
      </c>
      <c r="L79" s="95" t="s">
        <v>654</v>
      </c>
      <c r="M79" s="40" t="s">
        <v>655</v>
      </c>
      <c r="N79" s="92" t="s">
        <v>619</v>
      </c>
      <c r="O79" s="94" t="s">
        <v>656</v>
      </c>
      <c r="P79" s="39"/>
    </row>
    <row r="80" spans="1:16" ht="42.75" customHeight="1">
      <c r="A80" s="109" t="s">
        <v>657</v>
      </c>
      <c r="B80" s="79"/>
      <c r="C80" s="80"/>
      <c r="D80" s="80"/>
      <c r="E80" s="91">
        <v>4</v>
      </c>
      <c r="F80" s="91">
        <v>4</v>
      </c>
      <c r="G80" s="92" t="s">
        <v>658</v>
      </c>
      <c r="H80" s="92">
        <v>1.5249999999999999</v>
      </c>
      <c r="I80" s="92">
        <v>1.6639999999999999</v>
      </c>
      <c r="J80" s="92"/>
      <c r="K80" s="40" t="s">
        <v>659</v>
      </c>
      <c r="L80" s="92" t="s">
        <v>660</v>
      </c>
      <c r="M80" s="86" t="s">
        <v>627</v>
      </c>
      <c r="N80" s="92" t="s">
        <v>619</v>
      </c>
      <c r="O80" s="94" t="s">
        <v>661</v>
      </c>
      <c r="P80" s="39"/>
    </row>
    <row r="81" spans="1:16" ht="70.5" customHeight="1">
      <c r="A81" s="108" t="s">
        <v>662</v>
      </c>
      <c r="B81" s="79"/>
      <c r="C81" s="80"/>
      <c r="D81" s="80"/>
      <c r="E81" s="84">
        <v>4</v>
      </c>
      <c r="F81" s="84">
        <v>4</v>
      </c>
      <c r="G81" s="40" t="s">
        <v>663</v>
      </c>
      <c r="H81" s="40">
        <v>0.875</v>
      </c>
      <c r="I81" s="40">
        <v>0.88300000000000001</v>
      </c>
      <c r="J81" s="40" t="s">
        <v>664</v>
      </c>
      <c r="K81" s="40" t="s">
        <v>665</v>
      </c>
      <c r="L81" s="88" t="s">
        <v>666</v>
      </c>
      <c r="M81" s="86" t="s">
        <v>627</v>
      </c>
      <c r="N81" s="92" t="s">
        <v>619</v>
      </c>
      <c r="O81" s="85" t="s">
        <v>667</v>
      </c>
      <c r="P81" s="39"/>
    </row>
    <row r="82" spans="1:16" ht="34.5" customHeight="1">
      <c r="A82" s="109" t="s">
        <v>668</v>
      </c>
      <c r="B82" s="79"/>
      <c r="C82" s="80"/>
      <c r="D82" s="80"/>
      <c r="E82" s="91">
        <v>4</v>
      </c>
      <c r="F82" s="91">
        <v>4</v>
      </c>
      <c r="G82" s="92" t="s">
        <v>669</v>
      </c>
      <c r="H82" s="92">
        <v>0.76400000000000001</v>
      </c>
      <c r="I82" s="92">
        <v>1.3109999999999999</v>
      </c>
      <c r="J82" s="92" t="s">
        <v>670</v>
      </c>
      <c r="K82" s="40" t="s">
        <v>671</v>
      </c>
      <c r="L82" s="95" t="s">
        <v>672</v>
      </c>
      <c r="M82" s="40" t="s">
        <v>655</v>
      </c>
      <c r="N82" s="85" t="s">
        <v>583</v>
      </c>
      <c r="O82" s="94" t="s">
        <v>673</v>
      </c>
      <c r="P82" s="39"/>
    </row>
    <row r="83" spans="1:16" ht="67.5" customHeight="1">
      <c r="A83" s="108" t="s">
        <v>674</v>
      </c>
      <c r="B83" s="79"/>
      <c r="C83" s="80"/>
      <c r="D83" s="80"/>
      <c r="E83" s="84">
        <v>2</v>
      </c>
      <c r="F83" s="84">
        <v>1</v>
      </c>
      <c r="G83" s="92" t="s">
        <v>590</v>
      </c>
      <c r="H83" s="92">
        <v>2.3879999999999999</v>
      </c>
      <c r="I83" s="92"/>
      <c r="J83" s="92"/>
      <c r="K83" s="40" t="s">
        <v>675</v>
      </c>
      <c r="L83" s="88" t="s">
        <v>676</v>
      </c>
      <c r="M83" s="40" t="s">
        <v>655</v>
      </c>
      <c r="N83" s="92" t="s">
        <v>619</v>
      </c>
      <c r="O83" s="94" t="s">
        <v>677</v>
      </c>
      <c r="P83" s="39"/>
    </row>
    <row r="84" spans="1:16" ht="45">
      <c r="A84" s="109" t="s">
        <v>678</v>
      </c>
      <c r="B84" s="79"/>
      <c r="C84" s="80"/>
      <c r="D84" s="80"/>
      <c r="E84" s="91">
        <v>4</v>
      </c>
      <c r="F84" s="91">
        <v>4</v>
      </c>
      <c r="G84" s="40" t="s">
        <v>679</v>
      </c>
      <c r="H84" s="40">
        <v>0.36399999999999999</v>
      </c>
      <c r="I84" s="40">
        <v>1.0429999999999999</v>
      </c>
      <c r="J84" s="40" t="s">
        <v>680</v>
      </c>
      <c r="K84" s="40" t="s">
        <v>681</v>
      </c>
      <c r="L84" s="40" t="s">
        <v>682</v>
      </c>
      <c r="M84" s="86" t="s">
        <v>627</v>
      </c>
      <c r="N84" s="92" t="s">
        <v>619</v>
      </c>
      <c r="O84" s="94" t="s">
        <v>683</v>
      </c>
    </row>
    <row r="85" spans="1:16">
      <c r="A85" s="110"/>
      <c r="B85" s="96"/>
      <c r="C85" s="50"/>
      <c r="D85" s="50"/>
      <c r="E85" s="97"/>
      <c r="F85" s="98"/>
      <c r="G85" s="55"/>
      <c r="H85" s="55"/>
      <c r="I85" s="55"/>
      <c r="J85" s="55"/>
    </row>
    <row r="86" spans="1:16">
      <c r="A86" s="110"/>
      <c r="B86" s="96"/>
      <c r="C86" s="50"/>
      <c r="D86" s="50"/>
      <c r="E86" s="97"/>
      <c r="F86" s="98"/>
      <c r="G86" s="55"/>
      <c r="H86" s="55"/>
      <c r="I86" s="55"/>
      <c r="J86" s="55"/>
    </row>
    <row r="87" spans="1:16">
      <c r="A87" s="110"/>
      <c r="B87" s="96"/>
      <c r="C87" s="50"/>
      <c r="D87" s="50"/>
      <c r="E87" s="97"/>
      <c r="F87" s="98"/>
      <c r="G87" s="55"/>
      <c r="H87" s="55"/>
      <c r="I87" s="55"/>
      <c r="J87" s="55"/>
    </row>
    <row r="88" spans="1:16">
      <c r="A88" s="110"/>
      <c r="B88" s="96"/>
      <c r="C88" s="50"/>
      <c r="D88" s="50">
        <v>56</v>
      </c>
      <c r="E88" s="97"/>
      <c r="F88" s="98"/>
      <c r="G88" s="55"/>
      <c r="H88" s="55"/>
      <c r="I88" s="55"/>
      <c r="J88" s="55"/>
    </row>
    <row r="89" spans="1:16">
      <c r="A89" s="110"/>
      <c r="B89" s="96"/>
      <c r="C89" s="50"/>
      <c r="D89" s="50">
        <v>21</v>
      </c>
      <c r="E89" s="97"/>
      <c r="F89" s="98"/>
      <c r="G89" s="55"/>
      <c r="H89" s="55"/>
      <c r="I89" s="55"/>
      <c r="J89" s="55"/>
    </row>
    <row r="90" spans="1:16">
      <c r="A90" s="110"/>
      <c r="B90" s="96"/>
      <c r="C90" s="50"/>
      <c r="D90" s="50"/>
      <c r="E90" s="97"/>
      <c r="F90" s="98"/>
      <c r="G90" s="55"/>
      <c r="H90" s="55"/>
      <c r="I90" s="55"/>
      <c r="J90" s="55"/>
    </row>
    <row r="91" spans="1:16">
      <c r="A91" s="110"/>
      <c r="B91" s="96"/>
      <c r="C91" s="50"/>
      <c r="D91" s="50"/>
      <c r="E91" s="97"/>
      <c r="F91" s="98"/>
      <c r="G91" s="55"/>
      <c r="H91" s="55"/>
      <c r="I91" s="55"/>
      <c r="J91" s="55"/>
    </row>
    <row r="92" spans="1:16">
      <c r="A92" s="110"/>
      <c r="B92" s="96"/>
      <c r="C92" s="50"/>
      <c r="D92" s="50"/>
      <c r="E92" s="97"/>
      <c r="F92" s="98"/>
      <c r="G92" s="55"/>
      <c r="H92" s="55"/>
      <c r="I92" s="55"/>
      <c r="J92" s="55"/>
    </row>
    <row r="93" spans="1:16">
      <c r="A93" s="110"/>
      <c r="B93" s="96"/>
      <c r="C93" s="50"/>
      <c r="D93" s="50"/>
      <c r="E93" s="97"/>
      <c r="F93" s="98"/>
      <c r="G93" s="55"/>
      <c r="H93" s="55"/>
      <c r="I93" s="55"/>
      <c r="J93" s="55"/>
    </row>
    <row r="94" spans="1:16">
      <c r="A94" s="110"/>
      <c r="B94" s="96"/>
      <c r="C94" s="50"/>
      <c r="D94" s="50"/>
      <c r="E94" s="97"/>
      <c r="F94" s="98"/>
      <c r="G94" s="55"/>
      <c r="H94" s="55"/>
      <c r="I94" s="55"/>
      <c r="J94" s="55"/>
    </row>
    <row r="95" spans="1:16">
      <c r="A95" s="110"/>
      <c r="B95" s="96"/>
      <c r="C95" s="50"/>
      <c r="D95" s="50"/>
      <c r="E95" s="97"/>
      <c r="F95" s="98"/>
      <c r="G95" s="55"/>
      <c r="H95" s="55"/>
      <c r="I95" s="55"/>
      <c r="J95" s="55"/>
    </row>
    <row r="96" spans="1:16">
      <c r="A96" s="110"/>
      <c r="B96" s="96"/>
      <c r="C96" s="50"/>
      <c r="D96" s="50"/>
      <c r="E96" s="97"/>
      <c r="F96" s="98"/>
      <c r="G96" s="55"/>
      <c r="H96" s="55"/>
      <c r="I96" s="55"/>
      <c r="J96" s="55"/>
    </row>
    <row r="97" spans="1:10">
      <c r="A97" s="110"/>
      <c r="B97" s="96"/>
      <c r="C97" s="50"/>
      <c r="D97" s="50"/>
      <c r="E97" s="97"/>
      <c r="F97" s="98"/>
      <c r="G97" s="55"/>
      <c r="H97" s="55"/>
      <c r="I97" s="55"/>
      <c r="J97" s="55"/>
    </row>
    <row r="98" spans="1:10">
      <c r="A98" s="110"/>
      <c r="B98" s="96"/>
      <c r="C98" s="50"/>
      <c r="D98" s="50"/>
      <c r="E98" s="97"/>
      <c r="F98" s="98"/>
      <c r="G98" s="55"/>
      <c r="H98" s="55"/>
      <c r="I98" s="55"/>
      <c r="J98" s="55"/>
    </row>
    <row r="99" spans="1:10">
      <c r="A99" s="110"/>
      <c r="B99" s="96"/>
      <c r="C99" s="50"/>
      <c r="D99" s="50"/>
      <c r="E99" s="97"/>
      <c r="F99" s="98"/>
      <c r="G99" s="55"/>
      <c r="H99" s="55"/>
      <c r="I99" s="55"/>
      <c r="J99" s="55"/>
    </row>
    <row r="100" spans="1:10">
      <c r="A100" s="110"/>
      <c r="B100" s="96"/>
      <c r="C100" s="50"/>
      <c r="D100" s="50"/>
      <c r="E100" s="97"/>
      <c r="F100" s="98"/>
      <c r="G100" s="55"/>
      <c r="H100" s="55"/>
      <c r="I100" s="55"/>
      <c r="J100" s="55"/>
    </row>
    <row r="101" spans="1:10">
      <c r="A101" s="110"/>
      <c r="B101" s="96"/>
      <c r="C101" s="50"/>
      <c r="D101" s="50"/>
      <c r="E101" s="97"/>
      <c r="F101" s="98"/>
      <c r="G101" s="55"/>
      <c r="H101" s="55"/>
      <c r="I101" s="55"/>
      <c r="J101" s="55"/>
    </row>
    <row r="102" spans="1:10">
      <c r="A102" s="110"/>
      <c r="B102" s="96"/>
      <c r="C102" s="50"/>
      <c r="D102" s="50"/>
      <c r="E102" s="97"/>
      <c r="F102" s="98"/>
      <c r="G102" s="55"/>
      <c r="H102" s="55"/>
      <c r="I102" s="55"/>
      <c r="J102" s="55"/>
    </row>
    <row r="103" spans="1:10">
      <c r="A103" s="110"/>
      <c r="B103" s="96"/>
      <c r="C103" s="50"/>
      <c r="D103" s="50"/>
      <c r="E103" s="97"/>
      <c r="F103" s="98"/>
      <c r="G103" s="55"/>
      <c r="H103" s="55"/>
      <c r="I103" s="55"/>
      <c r="J103" s="55"/>
    </row>
    <row r="104" spans="1:10">
      <c r="A104" s="110"/>
      <c r="B104" s="96"/>
      <c r="C104" s="50"/>
      <c r="D104" s="50"/>
      <c r="E104" s="97"/>
      <c r="F104" s="98"/>
      <c r="G104" s="55"/>
      <c r="H104" s="55"/>
      <c r="I104" s="55"/>
      <c r="J104" s="55"/>
    </row>
    <row r="105" spans="1:10">
      <c r="A105" s="110"/>
      <c r="B105" s="96"/>
      <c r="C105" s="50"/>
      <c r="D105" s="50"/>
      <c r="E105" s="97"/>
      <c r="F105" s="98"/>
      <c r="G105" s="55"/>
      <c r="H105" s="55"/>
      <c r="I105" s="55"/>
      <c r="J105" s="55"/>
    </row>
    <row r="106" spans="1:10">
      <c r="A106" s="110"/>
      <c r="B106" s="96"/>
      <c r="C106" s="50"/>
      <c r="D106" s="50"/>
      <c r="E106" s="97"/>
      <c r="F106" s="98"/>
      <c r="G106" s="55"/>
      <c r="H106" s="55"/>
      <c r="I106" s="55"/>
      <c r="J106" s="55"/>
    </row>
    <row r="107" spans="1:10">
      <c r="A107" s="110"/>
      <c r="B107" s="96"/>
      <c r="C107" s="50"/>
      <c r="D107" s="50"/>
      <c r="E107" s="97"/>
      <c r="F107" s="98"/>
      <c r="G107" s="55"/>
      <c r="H107" s="55"/>
      <c r="I107" s="55"/>
      <c r="J107" s="55"/>
    </row>
    <row r="108" spans="1:10">
      <c r="A108" s="110"/>
      <c r="B108" s="96"/>
      <c r="C108" s="50"/>
      <c r="D108" s="50"/>
      <c r="E108" s="97"/>
      <c r="F108" s="98"/>
      <c r="G108" s="55"/>
      <c r="H108" s="55"/>
      <c r="I108" s="55"/>
      <c r="J108" s="55"/>
    </row>
    <row r="109" spans="1:10">
      <c r="A109" s="110"/>
      <c r="B109" s="96"/>
      <c r="C109" s="50"/>
      <c r="D109" s="50"/>
      <c r="E109" s="97"/>
      <c r="F109" s="98"/>
      <c r="G109" s="55"/>
      <c r="H109" s="55"/>
      <c r="I109" s="55"/>
      <c r="J109" s="55"/>
    </row>
    <row r="110" spans="1:10">
      <c r="A110" s="110"/>
      <c r="B110" s="96"/>
      <c r="C110" s="50"/>
      <c r="D110" s="50"/>
      <c r="E110" s="97"/>
      <c r="F110" s="98"/>
      <c r="G110" s="55"/>
      <c r="H110" s="55"/>
      <c r="I110" s="55"/>
      <c r="J110" s="55"/>
    </row>
    <row r="111" spans="1:10">
      <c r="A111" s="110"/>
      <c r="B111" s="96"/>
      <c r="C111" s="50"/>
      <c r="D111" s="50"/>
      <c r="E111" s="97"/>
      <c r="F111" s="98"/>
      <c r="G111" s="55"/>
      <c r="H111" s="55"/>
      <c r="I111" s="55"/>
      <c r="J111" s="55"/>
    </row>
    <row r="112" spans="1:10">
      <c r="A112" s="110"/>
      <c r="B112" s="96"/>
      <c r="C112" s="50"/>
      <c r="D112" s="50"/>
      <c r="E112" s="97"/>
      <c r="F112" s="98"/>
      <c r="G112" s="55"/>
      <c r="H112" s="55"/>
      <c r="I112" s="55"/>
      <c r="J112" s="55"/>
    </row>
    <row r="113" spans="1:10">
      <c r="A113" s="110"/>
      <c r="B113" s="96"/>
      <c r="C113" s="50"/>
      <c r="D113" s="50"/>
      <c r="E113" s="97"/>
      <c r="F113" s="98"/>
      <c r="G113" s="55"/>
      <c r="H113" s="55"/>
      <c r="I113" s="55"/>
      <c r="J113" s="55"/>
    </row>
    <row r="114" spans="1:10">
      <c r="A114" s="110"/>
      <c r="B114" s="96"/>
      <c r="C114" s="50"/>
      <c r="D114" s="50"/>
      <c r="E114" s="97"/>
      <c r="F114" s="98"/>
      <c r="G114" s="55"/>
      <c r="H114" s="55"/>
      <c r="I114" s="55"/>
      <c r="J114" s="55"/>
    </row>
    <row r="115" spans="1:10">
      <c r="A115" s="110"/>
      <c r="B115" s="96"/>
      <c r="C115" s="50"/>
      <c r="D115" s="50"/>
      <c r="E115" s="97"/>
      <c r="F115" s="98"/>
      <c r="G115" s="55"/>
      <c r="H115" s="55"/>
      <c r="I115" s="55"/>
      <c r="J115" s="55"/>
    </row>
    <row r="116" spans="1:10">
      <c r="A116" s="110"/>
      <c r="B116" s="96"/>
      <c r="C116" s="50"/>
      <c r="D116" s="50"/>
      <c r="E116" s="97"/>
      <c r="F116" s="98"/>
      <c r="G116" s="55"/>
      <c r="H116" s="55"/>
      <c r="I116" s="55"/>
      <c r="J116" s="55"/>
    </row>
    <row r="117" spans="1:10">
      <c r="A117" s="110"/>
      <c r="B117" s="96"/>
      <c r="C117" s="50"/>
      <c r="D117" s="50"/>
      <c r="E117" s="97"/>
      <c r="F117" s="98"/>
      <c r="G117" s="55"/>
      <c r="H117" s="55"/>
      <c r="I117" s="55"/>
      <c r="J117" s="55"/>
    </row>
    <row r="118" spans="1:10">
      <c r="A118" s="110"/>
      <c r="B118" s="96"/>
      <c r="C118" s="50"/>
      <c r="D118" s="50"/>
      <c r="E118" s="97"/>
      <c r="F118" s="98"/>
      <c r="G118" s="55"/>
      <c r="H118" s="55"/>
      <c r="I118" s="55"/>
      <c r="J118" s="55"/>
    </row>
    <row r="119" spans="1:10">
      <c r="A119" s="110"/>
      <c r="B119" s="96"/>
      <c r="C119" s="50"/>
      <c r="D119" s="50"/>
      <c r="E119" s="97"/>
      <c r="F119" s="98"/>
      <c r="G119" s="55"/>
      <c r="H119" s="55"/>
      <c r="I119" s="55"/>
      <c r="J119" s="55"/>
    </row>
    <row r="120" spans="1:10">
      <c r="A120" s="110"/>
      <c r="B120" s="96"/>
      <c r="C120" s="50"/>
      <c r="D120" s="50"/>
      <c r="E120" s="97"/>
      <c r="F120" s="98"/>
      <c r="G120" s="55"/>
      <c r="H120" s="55"/>
      <c r="I120" s="55"/>
      <c r="J120" s="55"/>
    </row>
    <row r="121" spans="1:10">
      <c r="A121" s="110"/>
      <c r="B121" s="96"/>
      <c r="C121" s="50"/>
      <c r="D121" s="50"/>
      <c r="E121" s="97"/>
      <c r="F121" s="98"/>
      <c r="G121" s="55"/>
      <c r="H121" s="55"/>
      <c r="I121" s="55"/>
      <c r="J121" s="55"/>
    </row>
    <row r="122" spans="1:10">
      <c r="A122" s="110"/>
      <c r="B122" s="96"/>
      <c r="C122" s="50"/>
      <c r="D122" s="50"/>
      <c r="E122" s="97"/>
      <c r="F122" s="98"/>
      <c r="G122" s="55"/>
      <c r="H122" s="55"/>
      <c r="I122" s="55"/>
      <c r="J122" s="55"/>
    </row>
    <row r="123" spans="1:10">
      <c r="A123" s="110"/>
      <c r="B123" s="96"/>
      <c r="C123" s="50"/>
      <c r="D123" s="50"/>
      <c r="E123" s="97"/>
      <c r="F123" s="98"/>
      <c r="G123" s="55"/>
      <c r="H123" s="55"/>
      <c r="I123" s="55"/>
      <c r="J123" s="55"/>
    </row>
    <row r="124" spans="1:10">
      <c r="A124" s="110"/>
      <c r="B124" s="96"/>
      <c r="C124" s="50"/>
      <c r="D124" s="50"/>
      <c r="E124" s="97"/>
      <c r="F124" s="98"/>
      <c r="G124" s="55"/>
      <c r="H124" s="55"/>
      <c r="I124" s="55"/>
      <c r="J124" s="55"/>
    </row>
    <row r="125" spans="1:10">
      <c r="A125" s="110"/>
      <c r="B125" s="96"/>
      <c r="C125" s="50"/>
      <c r="D125" s="50"/>
      <c r="E125" s="97"/>
      <c r="F125" s="98"/>
      <c r="G125" s="55"/>
      <c r="H125" s="55"/>
      <c r="I125" s="55"/>
      <c r="J125" s="55"/>
    </row>
    <row r="126" spans="1:10">
      <c r="A126" s="110"/>
      <c r="B126" s="96"/>
      <c r="C126" s="50"/>
      <c r="D126" s="50"/>
      <c r="E126" s="97"/>
      <c r="F126" s="98"/>
      <c r="G126" s="55"/>
      <c r="H126" s="55"/>
      <c r="I126" s="55"/>
      <c r="J126" s="55"/>
    </row>
    <row r="127" spans="1:10">
      <c r="A127" s="110"/>
      <c r="B127" s="96"/>
      <c r="C127" s="50"/>
      <c r="D127" s="50"/>
      <c r="E127" s="97"/>
      <c r="F127" s="98"/>
      <c r="G127" s="55"/>
      <c r="H127" s="55"/>
      <c r="I127" s="55"/>
      <c r="J127" s="55"/>
    </row>
    <row r="128" spans="1:10">
      <c r="A128" s="110"/>
      <c r="B128" s="96"/>
      <c r="C128" s="50"/>
      <c r="D128" s="50"/>
      <c r="E128" s="97"/>
      <c r="F128" s="98"/>
      <c r="G128" s="55"/>
      <c r="H128" s="55"/>
      <c r="I128" s="55"/>
      <c r="J128" s="55"/>
    </row>
    <row r="129" spans="1:10">
      <c r="A129" s="110"/>
      <c r="B129" s="96"/>
      <c r="C129" s="50"/>
      <c r="D129" s="50"/>
      <c r="E129" s="97"/>
      <c r="F129" s="98"/>
      <c r="G129" s="55"/>
      <c r="H129" s="55"/>
      <c r="I129" s="55"/>
      <c r="J129" s="55"/>
    </row>
    <row r="130" spans="1:10">
      <c r="A130" s="110"/>
      <c r="B130" s="96"/>
      <c r="C130" s="50"/>
      <c r="D130" s="50"/>
      <c r="E130" s="97"/>
      <c r="F130" s="98"/>
      <c r="G130" s="55"/>
      <c r="H130" s="55"/>
      <c r="I130" s="55"/>
      <c r="J130" s="55"/>
    </row>
    <row r="131" spans="1:10">
      <c r="A131" s="110"/>
      <c r="B131" s="96"/>
      <c r="C131" s="50"/>
      <c r="D131" s="50"/>
      <c r="E131" s="97"/>
      <c r="F131" s="98"/>
      <c r="G131" s="55"/>
      <c r="H131" s="55"/>
      <c r="I131" s="55"/>
      <c r="J131" s="55"/>
    </row>
    <row r="132" spans="1:10">
      <c r="A132" s="110"/>
      <c r="B132" s="96"/>
      <c r="C132" s="50"/>
      <c r="D132" s="50"/>
      <c r="E132" s="97"/>
      <c r="F132" s="98"/>
      <c r="G132" s="55"/>
      <c r="H132" s="55"/>
      <c r="I132" s="55"/>
      <c r="J132" s="55"/>
    </row>
    <row r="133" spans="1:10">
      <c r="A133" s="110"/>
      <c r="B133" s="96"/>
      <c r="C133" s="50"/>
      <c r="D133" s="50"/>
      <c r="E133" s="97"/>
      <c r="F133" s="98"/>
    </row>
    <row r="134" spans="1:10">
      <c r="A134" s="110"/>
      <c r="B134" s="96"/>
      <c r="C134" s="50"/>
      <c r="D134" s="50"/>
      <c r="E134" s="97"/>
      <c r="F134" s="98"/>
    </row>
    <row r="135" spans="1:10">
      <c r="A135" s="110"/>
      <c r="B135" s="96"/>
      <c r="C135" s="50"/>
      <c r="D135" s="50"/>
      <c r="E135" s="97"/>
      <c r="F135" s="98"/>
    </row>
    <row r="136" spans="1:10">
      <c r="A136" s="110"/>
      <c r="B136" s="96"/>
      <c r="C136" s="50"/>
      <c r="D136" s="50"/>
      <c r="E136" s="97"/>
      <c r="F136" s="98"/>
    </row>
    <row r="137" spans="1:10">
      <c r="A137" s="110"/>
      <c r="B137" s="96"/>
      <c r="C137" s="50"/>
      <c r="D137" s="50"/>
      <c r="E137" s="97"/>
      <c r="F137" s="98"/>
    </row>
    <row r="138" spans="1:10">
      <c r="A138" s="110"/>
      <c r="B138" s="96"/>
      <c r="C138" s="50"/>
      <c r="D138" s="50"/>
      <c r="E138" s="97"/>
      <c r="F138" s="98"/>
    </row>
    <row r="139" spans="1:10">
      <c r="A139" s="110"/>
      <c r="B139" s="96"/>
      <c r="C139" s="50"/>
      <c r="D139" s="50"/>
      <c r="E139" s="97"/>
      <c r="F139" s="98"/>
    </row>
    <row r="140" spans="1:10">
      <c r="A140" s="110"/>
      <c r="B140" s="96"/>
      <c r="C140" s="50"/>
      <c r="D140" s="50"/>
      <c r="E140" s="97"/>
      <c r="F140" s="98"/>
    </row>
    <row r="141" spans="1:10">
      <c r="A141" s="110"/>
      <c r="B141" s="96"/>
      <c r="C141" s="50"/>
      <c r="D141" s="50"/>
      <c r="E141" s="97"/>
      <c r="F141" s="98"/>
    </row>
    <row r="142" spans="1:10">
      <c r="A142" s="110"/>
      <c r="B142" s="96"/>
      <c r="C142" s="50"/>
      <c r="D142" s="50"/>
      <c r="E142" s="97"/>
      <c r="F142" s="98"/>
    </row>
    <row r="143" spans="1:10">
      <c r="A143" s="110"/>
      <c r="B143" s="96"/>
      <c r="C143" s="50"/>
      <c r="D143" s="50"/>
      <c r="E143" s="97"/>
      <c r="F143" s="98"/>
    </row>
    <row r="144" spans="1:10">
      <c r="A144" s="110"/>
      <c r="B144" s="96"/>
      <c r="C144" s="50"/>
      <c r="D144" s="50"/>
      <c r="E144" s="97"/>
      <c r="F144" s="98"/>
    </row>
    <row r="145" spans="1:6">
      <c r="A145" s="110"/>
      <c r="B145" s="96"/>
      <c r="C145" s="50"/>
      <c r="D145" s="50"/>
      <c r="E145" s="97"/>
      <c r="F145" s="98"/>
    </row>
    <row r="146" spans="1:6">
      <c r="A146" s="110"/>
      <c r="B146" s="96"/>
      <c r="C146" s="50"/>
      <c r="D146" s="50"/>
      <c r="E146" s="97"/>
      <c r="F146" s="98"/>
    </row>
    <row r="147" spans="1:6">
      <c r="A147" s="110"/>
      <c r="B147" s="96"/>
      <c r="C147" s="50"/>
      <c r="D147" s="50"/>
      <c r="E147" s="97"/>
      <c r="F147" s="98"/>
    </row>
    <row r="148" spans="1:6">
      <c r="A148" s="110"/>
      <c r="B148" s="96"/>
      <c r="C148" s="50"/>
      <c r="D148" s="50"/>
      <c r="E148" s="97"/>
      <c r="F148" s="98"/>
    </row>
    <row r="149" spans="1:6">
      <c r="A149" s="110"/>
      <c r="B149" s="96"/>
      <c r="C149" s="50"/>
      <c r="D149" s="50"/>
      <c r="E149" s="97"/>
      <c r="F149" s="98"/>
    </row>
    <row r="150" spans="1:6">
      <c r="A150" s="110"/>
      <c r="B150" s="96"/>
      <c r="C150" s="50"/>
      <c r="D150" s="50"/>
      <c r="E150" s="97"/>
      <c r="F150" s="98"/>
    </row>
    <row r="151" spans="1:6">
      <c r="A151" s="110"/>
      <c r="B151" s="96"/>
      <c r="C151" s="50"/>
      <c r="D151" s="50"/>
      <c r="E151" s="97"/>
      <c r="F151" s="98"/>
    </row>
    <row r="152" spans="1:6">
      <c r="A152" s="110"/>
      <c r="B152" s="96"/>
      <c r="C152" s="50"/>
      <c r="D152" s="50"/>
      <c r="E152" s="97"/>
      <c r="F152" s="98"/>
    </row>
    <row r="153" spans="1:6">
      <c r="A153" s="110"/>
      <c r="B153" s="96"/>
      <c r="C153" s="50"/>
      <c r="D153" s="50"/>
      <c r="E153" s="97"/>
      <c r="F153" s="98"/>
    </row>
    <row r="154" spans="1:6">
      <c r="A154" s="110"/>
      <c r="B154" s="96"/>
      <c r="C154" s="50"/>
      <c r="D154" s="50"/>
      <c r="E154" s="97"/>
      <c r="F154" s="98"/>
    </row>
    <row r="155" spans="1:6">
      <c r="A155" s="110"/>
      <c r="B155" s="96"/>
      <c r="C155" s="50"/>
      <c r="D155" s="50"/>
      <c r="E155" s="97"/>
      <c r="F155" s="98"/>
    </row>
    <row r="156" spans="1:6">
      <c r="A156" s="110"/>
      <c r="B156" s="96"/>
      <c r="C156" s="50"/>
      <c r="D156" s="50"/>
      <c r="E156" s="97"/>
      <c r="F156" s="98"/>
    </row>
    <row r="157" spans="1:6">
      <c r="A157" s="110"/>
      <c r="B157" s="96"/>
      <c r="C157" s="50"/>
      <c r="D157" s="50"/>
      <c r="E157" s="97"/>
      <c r="F157" s="98"/>
    </row>
    <row r="158" spans="1:6">
      <c r="A158" s="110"/>
      <c r="B158" s="96"/>
      <c r="C158" s="50"/>
      <c r="D158" s="50"/>
      <c r="E158" s="97"/>
      <c r="F158" s="98"/>
    </row>
    <row r="159" spans="1:6">
      <c r="A159" s="110"/>
      <c r="B159" s="99"/>
      <c r="C159" s="26"/>
      <c r="D159" s="26"/>
      <c r="E159" s="97"/>
      <c r="F159" s="98"/>
    </row>
    <row r="160" spans="1:6">
      <c r="A160" s="110"/>
      <c r="B160" s="99"/>
      <c r="C160" s="26"/>
      <c r="D160" s="26"/>
      <c r="E160" s="97"/>
      <c r="F160" s="98"/>
    </row>
    <row r="161" spans="1:6">
      <c r="A161" s="110"/>
      <c r="B161" s="99"/>
      <c r="C161" s="26"/>
      <c r="D161" s="26"/>
      <c r="E161" s="97"/>
      <c r="F161" s="98"/>
    </row>
    <row r="162" spans="1:6">
      <c r="A162" s="110"/>
      <c r="B162" s="99"/>
      <c r="C162" s="26"/>
      <c r="D162" s="26"/>
      <c r="E162" s="97"/>
      <c r="F162" s="98"/>
    </row>
    <row r="163" spans="1:6">
      <c r="A163" s="110"/>
      <c r="B163" s="99"/>
      <c r="C163" s="26"/>
      <c r="D163" s="26"/>
      <c r="E163" s="97"/>
      <c r="F163" s="98"/>
    </row>
    <row r="164" spans="1:6">
      <c r="A164" s="110"/>
      <c r="B164" s="99"/>
      <c r="C164" s="26"/>
      <c r="D164" s="26"/>
      <c r="E164" s="97"/>
      <c r="F164" s="98"/>
    </row>
    <row r="165" spans="1:6">
      <c r="A165" s="110"/>
      <c r="B165" s="99"/>
      <c r="C165" s="26"/>
      <c r="D165" s="26"/>
      <c r="E165" s="97"/>
      <c r="F165" s="98"/>
    </row>
    <row r="166" spans="1:6">
      <c r="A166" s="110"/>
      <c r="B166" s="99"/>
      <c r="C166" s="26"/>
      <c r="D166" s="26"/>
      <c r="E166" s="97"/>
      <c r="F166" s="98"/>
    </row>
    <row r="167" spans="1:6">
      <c r="A167" s="110"/>
      <c r="B167" s="99"/>
      <c r="C167" s="26"/>
      <c r="D167" s="26"/>
      <c r="E167" s="97"/>
      <c r="F167" s="98"/>
    </row>
    <row r="168" spans="1:6">
      <c r="A168" s="110"/>
      <c r="B168" s="99"/>
      <c r="C168" s="26"/>
      <c r="D168" s="26"/>
      <c r="E168" s="97"/>
      <c r="F168" s="98"/>
    </row>
    <row r="169" spans="1:6">
      <c r="A169" s="110"/>
      <c r="B169" s="99"/>
      <c r="C169" s="26"/>
      <c r="D169" s="26"/>
      <c r="E169" s="97"/>
      <c r="F169" s="98"/>
    </row>
    <row r="170" spans="1:6">
      <c r="A170" s="110"/>
      <c r="B170" s="99"/>
      <c r="C170" s="26"/>
      <c r="D170" s="26"/>
      <c r="E170" s="97"/>
      <c r="F170" s="98"/>
    </row>
    <row r="171" spans="1:6">
      <c r="A171" s="110"/>
      <c r="B171" s="99"/>
      <c r="C171" s="26"/>
      <c r="D171" s="26"/>
      <c r="E171" s="97"/>
      <c r="F171" s="98"/>
    </row>
    <row r="172" spans="1:6">
      <c r="A172" s="110"/>
      <c r="B172" s="99"/>
      <c r="C172" s="26"/>
      <c r="D172" s="26"/>
      <c r="E172" s="97"/>
      <c r="F172" s="98"/>
    </row>
    <row r="173" spans="1:6">
      <c r="A173" s="110"/>
      <c r="B173" s="99"/>
      <c r="C173" s="26"/>
      <c r="D173" s="26"/>
      <c r="E173" s="97"/>
      <c r="F173" s="98"/>
    </row>
    <row r="174" spans="1:6">
      <c r="A174" s="110"/>
      <c r="B174" s="99"/>
      <c r="C174" s="26"/>
      <c r="D174" s="26"/>
      <c r="E174" s="97"/>
      <c r="F174" s="98"/>
    </row>
    <row r="175" spans="1:6">
      <c r="A175" s="110"/>
      <c r="B175" s="99"/>
      <c r="C175" s="26"/>
      <c r="D175" s="26"/>
      <c r="E175" s="97"/>
      <c r="F175" s="98"/>
    </row>
    <row r="176" spans="1:6">
      <c r="A176" s="110"/>
      <c r="B176" s="99"/>
      <c r="C176" s="26"/>
      <c r="D176" s="26"/>
      <c r="E176" s="97"/>
      <c r="F176" s="98"/>
    </row>
    <row r="177" spans="1:6">
      <c r="A177" s="110"/>
      <c r="B177" s="99"/>
      <c r="C177" s="26"/>
      <c r="D177" s="26"/>
      <c r="E177" s="97"/>
      <c r="F177" s="98"/>
    </row>
    <row r="178" spans="1:6">
      <c r="A178" s="110"/>
      <c r="B178" s="99"/>
      <c r="C178" s="26"/>
      <c r="D178" s="26"/>
      <c r="E178" s="97"/>
      <c r="F178" s="98"/>
    </row>
    <row r="179" spans="1:6">
      <c r="A179" s="110"/>
      <c r="B179" s="99"/>
      <c r="C179" s="26"/>
      <c r="D179" s="26"/>
      <c r="E179" s="97"/>
      <c r="F179" s="98"/>
    </row>
    <row r="180" spans="1:6">
      <c r="A180" s="110"/>
      <c r="B180" s="99"/>
      <c r="C180" s="26"/>
      <c r="D180" s="26"/>
      <c r="E180" s="97"/>
      <c r="F180" s="98"/>
    </row>
    <row r="181" spans="1:6">
      <c r="A181" s="110"/>
      <c r="B181" s="99"/>
      <c r="C181" s="26"/>
      <c r="D181" s="26"/>
      <c r="E181" s="97"/>
      <c r="F181" s="98"/>
    </row>
    <row r="182" spans="1:6">
      <c r="A182" s="110"/>
      <c r="B182" s="99"/>
      <c r="C182" s="26"/>
      <c r="D182" s="26"/>
      <c r="E182" s="97"/>
      <c r="F182" s="98"/>
    </row>
    <row r="183" spans="1:6">
      <c r="A183" s="110"/>
      <c r="B183" s="99"/>
      <c r="C183" s="26"/>
      <c r="D183" s="26"/>
      <c r="E183" s="97"/>
      <c r="F183" s="98"/>
    </row>
    <row r="184" spans="1:6">
      <c r="A184" s="110"/>
      <c r="B184" s="99"/>
      <c r="C184" s="26"/>
      <c r="D184" s="26"/>
      <c r="E184" s="97"/>
      <c r="F184" s="98"/>
    </row>
    <row r="185" spans="1:6">
      <c r="A185" s="110"/>
      <c r="B185" s="99"/>
      <c r="C185" s="26"/>
      <c r="D185" s="26"/>
      <c r="E185" s="97"/>
      <c r="F185" s="98"/>
    </row>
    <row r="186" spans="1:6">
      <c r="A186" s="110"/>
      <c r="B186" s="99"/>
      <c r="C186" s="26"/>
      <c r="D186" s="26"/>
      <c r="E186" s="97"/>
      <c r="F186" s="98"/>
    </row>
    <row r="187" spans="1:6">
      <c r="A187" s="110"/>
      <c r="B187" s="99"/>
      <c r="C187" s="26"/>
      <c r="D187" s="26"/>
      <c r="E187" s="97"/>
      <c r="F187" s="98"/>
    </row>
    <row r="188" spans="1:6">
      <c r="A188" s="110"/>
      <c r="B188" s="99"/>
      <c r="C188" s="26"/>
      <c r="D188" s="26"/>
      <c r="E188" s="97"/>
      <c r="F188" s="98"/>
    </row>
    <row r="189" spans="1:6">
      <c r="A189" s="110"/>
      <c r="B189" s="99"/>
      <c r="C189" s="26"/>
      <c r="D189" s="26"/>
      <c r="E189" s="97"/>
      <c r="F189" s="98"/>
    </row>
    <row r="190" spans="1:6">
      <c r="A190" s="110"/>
      <c r="B190" s="99"/>
      <c r="C190" s="26"/>
      <c r="D190" s="26"/>
      <c r="E190" s="97"/>
      <c r="F190" s="98"/>
    </row>
    <row r="191" spans="1:6">
      <c r="A191" s="110"/>
      <c r="B191" s="99"/>
      <c r="C191" s="26"/>
      <c r="D191" s="26"/>
      <c r="E191" s="97"/>
      <c r="F191" s="98"/>
    </row>
    <row r="192" spans="1:6">
      <c r="A192" s="110"/>
      <c r="B192" s="99"/>
      <c r="C192" s="26"/>
      <c r="D192" s="26"/>
      <c r="E192" s="97"/>
      <c r="F192" s="98"/>
    </row>
    <row r="193" spans="1:6">
      <c r="A193" s="110"/>
      <c r="B193" s="99"/>
      <c r="C193" s="26"/>
      <c r="D193" s="26"/>
      <c r="E193" s="97"/>
      <c r="F193" s="98"/>
    </row>
    <row r="194" spans="1:6">
      <c r="A194" s="110"/>
      <c r="B194" s="99"/>
      <c r="C194" s="26"/>
      <c r="D194" s="26"/>
      <c r="E194" s="97"/>
      <c r="F194" s="98"/>
    </row>
    <row r="195" spans="1:6">
      <c r="A195" s="110"/>
      <c r="B195" s="99"/>
      <c r="C195" s="26"/>
      <c r="D195" s="26"/>
      <c r="E195" s="97"/>
      <c r="F195" s="98"/>
    </row>
    <row r="196" spans="1:6">
      <c r="A196" s="110"/>
      <c r="B196" s="99"/>
      <c r="C196" s="26"/>
      <c r="D196" s="26"/>
      <c r="E196" s="97"/>
      <c r="F196" s="98"/>
    </row>
    <row r="197" spans="1:6">
      <c r="A197" s="110"/>
      <c r="B197" s="99"/>
      <c r="C197" s="26"/>
      <c r="D197" s="26"/>
      <c r="E197" s="97"/>
      <c r="F197" s="98"/>
    </row>
    <row r="198" spans="1:6">
      <c r="A198" s="110"/>
      <c r="B198" s="99"/>
      <c r="C198" s="26"/>
      <c r="D198" s="26"/>
      <c r="E198" s="97"/>
      <c r="F198" s="98"/>
    </row>
    <row r="199" spans="1:6">
      <c r="A199" s="110"/>
      <c r="B199" s="99"/>
      <c r="C199" s="26"/>
      <c r="D199" s="26"/>
      <c r="E199" s="97"/>
      <c r="F199" s="98"/>
    </row>
    <row r="200" spans="1:6">
      <c r="A200" s="110"/>
      <c r="B200" s="99"/>
      <c r="C200" s="26"/>
      <c r="D200" s="26"/>
      <c r="E200" s="97"/>
      <c r="F200" s="98"/>
    </row>
    <row r="201" spans="1:6">
      <c r="A201" s="110"/>
      <c r="B201" s="99"/>
      <c r="C201" s="26"/>
      <c r="D201" s="26"/>
      <c r="E201" s="97"/>
      <c r="F201" s="98"/>
    </row>
    <row r="202" spans="1:6">
      <c r="A202" s="110"/>
      <c r="B202" s="99"/>
      <c r="C202" s="26"/>
      <c r="D202" s="26"/>
      <c r="E202" s="97"/>
      <c r="F202" s="98"/>
    </row>
  </sheetData>
  <autoFilter ref="A1:O84" xr:uid="{00000000-0009-0000-0000-000002000000}"/>
  <phoneticPr fontId="2" type="noConversion"/>
  <dataValidations count="1">
    <dataValidation allowBlank="1" showInputMessage="1" showErrorMessage="1" sqref="Q11:Q24" xr:uid="{F0B99DB4-E2C8-3A46-BD59-1E3827BB66E5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BB1D-E2A7-EA4C-8D96-0D4B731DFC59}">
  <dimension ref="A1:N32"/>
  <sheetViews>
    <sheetView tabSelected="1" topLeftCell="A13" zoomScale="159" zoomScaleNormal="93" workbookViewId="0">
      <selection activeCell="B25" sqref="B25"/>
    </sheetView>
  </sheetViews>
  <sheetFormatPr baseColWidth="10" defaultColWidth="9" defaultRowHeight="15"/>
  <cols>
    <col min="1" max="1" width="5.1640625" style="15" customWidth="1"/>
    <col min="2" max="2" width="53.1640625" style="31" customWidth="1"/>
    <col min="3" max="3" width="17.33203125" style="25" customWidth="1"/>
    <col min="4" max="4" width="10.1640625" style="3" customWidth="1"/>
    <col min="5" max="5" width="12.6640625" style="3" customWidth="1"/>
    <col min="6" max="6" width="10.1640625" style="3" customWidth="1"/>
    <col min="7" max="7" width="14.83203125" style="3" customWidth="1"/>
    <col min="8" max="9" width="10.33203125" style="3" customWidth="1"/>
    <col min="10" max="10" width="57.83203125" style="3" customWidth="1"/>
    <col min="11" max="11" width="17.6640625" style="3" customWidth="1"/>
    <col min="12" max="16384" width="9" style="3"/>
  </cols>
  <sheetData>
    <row r="1" spans="1:14">
      <c r="A1" s="1" t="s">
        <v>0</v>
      </c>
      <c r="B1" s="27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4" ht="30">
      <c r="A2" s="1">
        <v>1</v>
      </c>
      <c r="B2" s="28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1"/>
      <c r="I2" s="1" t="s">
        <v>18</v>
      </c>
      <c r="J2" s="4" t="s">
        <v>19</v>
      </c>
      <c r="K2" s="6">
        <v>2027.11</v>
      </c>
    </row>
    <row r="3" spans="1:14">
      <c r="A3" s="1">
        <v>2</v>
      </c>
      <c r="B3" s="29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/>
      <c r="I3" s="5" t="s">
        <v>26</v>
      </c>
      <c r="J3" s="8" t="s">
        <v>27</v>
      </c>
      <c r="K3" s="9">
        <v>46490</v>
      </c>
      <c r="N3" s="3" t="s">
        <v>28</v>
      </c>
    </row>
    <row r="4" spans="1:14">
      <c r="A4" s="1">
        <v>3</v>
      </c>
      <c r="B4" s="35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/>
      <c r="I4" s="10"/>
      <c r="J4" s="11" t="s">
        <v>36</v>
      </c>
      <c r="K4" s="12">
        <v>46736</v>
      </c>
      <c r="L4" s="3">
        <v>300</v>
      </c>
    </row>
    <row r="5" spans="1:14" ht="30">
      <c r="A5" s="1">
        <v>4</v>
      </c>
      <c r="B5" s="35" t="s">
        <v>37</v>
      </c>
      <c r="C5" s="10" t="s">
        <v>38</v>
      </c>
      <c r="D5" s="10" t="s">
        <v>29</v>
      </c>
      <c r="E5" s="10" t="s">
        <v>39</v>
      </c>
      <c r="F5" s="10" t="s">
        <v>40</v>
      </c>
      <c r="G5" s="10" t="s">
        <v>41</v>
      </c>
      <c r="H5" s="10"/>
      <c r="I5" s="10"/>
      <c r="J5" s="7" t="s">
        <v>42</v>
      </c>
      <c r="K5" s="13">
        <v>46454</v>
      </c>
      <c r="L5" s="3">
        <v>180</v>
      </c>
    </row>
    <row r="6" spans="1:14" ht="28">
      <c r="A6" s="1">
        <v>5</v>
      </c>
      <c r="B6" s="34" t="s">
        <v>45</v>
      </c>
      <c r="C6" s="10" t="s">
        <v>46</v>
      </c>
      <c r="D6" s="10" t="s">
        <v>47</v>
      </c>
      <c r="E6" s="10" t="s">
        <v>48</v>
      </c>
      <c r="F6" s="10" t="s">
        <v>49</v>
      </c>
      <c r="G6" s="10" t="s">
        <v>44</v>
      </c>
      <c r="J6" s="8" t="s">
        <v>50</v>
      </c>
      <c r="K6" s="13">
        <v>46437</v>
      </c>
      <c r="L6" s="3">
        <v>300</v>
      </c>
    </row>
    <row r="7" spans="1:14" ht="28">
      <c r="A7" s="1">
        <v>6</v>
      </c>
      <c r="B7" s="34" t="s">
        <v>51</v>
      </c>
      <c r="C7" s="10" t="s">
        <v>52</v>
      </c>
      <c r="D7" s="10" t="s">
        <v>47</v>
      </c>
      <c r="E7" s="5" t="s">
        <v>53</v>
      </c>
      <c r="F7" s="10" t="s">
        <v>54</v>
      </c>
      <c r="G7" s="5"/>
      <c r="J7" s="8" t="s">
        <v>55</v>
      </c>
      <c r="K7" s="13"/>
    </row>
    <row r="8" spans="1:14" ht="28">
      <c r="A8" s="1">
        <v>7</v>
      </c>
      <c r="B8" s="30" t="s">
        <v>56</v>
      </c>
      <c r="C8" s="10" t="s">
        <v>57</v>
      </c>
      <c r="D8" s="10" t="s">
        <v>58</v>
      </c>
      <c r="E8" s="10" t="s">
        <v>59</v>
      </c>
      <c r="F8" s="10" t="s">
        <v>60</v>
      </c>
      <c r="G8" s="10" t="s">
        <v>61</v>
      </c>
      <c r="J8" s="8" t="s">
        <v>62</v>
      </c>
      <c r="K8" s="13">
        <v>46427</v>
      </c>
      <c r="L8" s="3">
        <v>600</v>
      </c>
    </row>
    <row r="9" spans="1:14">
      <c r="A9" s="1">
        <v>8</v>
      </c>
      <c r="B9" s="30" t="s">
        <v>63</v>
      </c>
      <c r="C9" s="10" t="s">
        <v>64</v>
      </c>
      <c r="D9" s="10" t="s">
        <v>65</v>
      </c>
      <c r="E9" s="10" t="s">
        <v>66</v>
      </c>
      <c r="F9" s="10" t="s">
        <v>67</v>
      </c>
      <c r="G9" s="10" t="s">
        <v>68</v>
      </c>
      <c r="J9" s="8" t="s">
        <v>69</v>
      </c>
      <c r="K9" s="14">
        <v>46546</v>
      </c>
      <c r="L9" s="3">
        <v>200</v>
      </c>
      <c r="M9" s="3" t="s">
        <v>70</v>
      </c>
    </row>
    <row r="10" spans="1:14" ht="32">
      <c r="A10" s="1">
        <v>9</v>
      </c>
      <c r="B10" s="34" t="s">
        <v>71</v>
      </c>
      <c r="C10" s="10" t="s">
        <v>72</v>
      </c>
      <c r="D10" s="10" t="s">
        <v>73</v>
      </c>
      <c r="E10" s="10" t="s">
        <v>74</v>
      </c>
      <c r="F10" s="10" t="s">
        <v>75</v>
      </c>
      <c r="G10" s="10" t="s">
        <v>76</v>
      </c>
      <c r="J10" s="16" t="s">
        <v>77</v>
      </c>
      <c r="K10" s="17" t="s">
        <v>78</v>
      </c>
      <c r="L10" s="3">
        <v>300</v>
      </c>
    </row>
    <row r="11" spans="1:14" ht="27" customHeight="1">
      <c r="A11" s="1">
        <v>10</v>
      </c>
      <c r="B11" s="35" t="s">
        <v>80</v>
      </c>
      <c r="C11" s="10" t="s">
        <v>81</v>
      </c>
      <c r="D11" s="10" t="s">
        <v>82</v>
      </c>
      <c r="E11" s="10" t="s">
        <v>83</v>
      </c>
      <c r="F11" s="10" t="s">
        <v>84</v>
      </c>
      <c r="G11" s="10" t="s">
        <v>85</v>
      </c>
      <c r="H11" s="1"/>
      <c r="I11" s="1"/>
      <c r="J11" s="18" t="s">
        <v>86</v>
      </c>
      <c r="K11" s="19" t="s">
        <v>87</v>
      </c>
      <c r="L11" s="3">
        <v>600</v>
      </c>
    </row>
    <row r="12" spans="1:14" ht="22" customHeight="1">
      <c r="A12" s="1">
        <v>11</v>
      </c>
      <c r="B12" s="112" t="s">
        <v>88</v>
      </c>
      <c r="C12" s="10" t="s">
        <v>89</v>
      </c>
      <c r="D12" s="10" t="s">
        <v>90</v>
      </c>
      <c r="E12" s="10" t="s">
        <v>91</v>
      </c>
      <c r="F12" s="10" t="s">
        <v>43</v>
      </c>
      <c r="G12" s="10" t="s">
        <v>92</v>
      </c>
      <c r="J12" s="8" t="s">
        <v>93</v>
      </c>
      <c r="K12" s="14">
        <v>46736</v>
      </c>
      <c r="L12" s="3">
        <v>300</v>
      </c>
    </row>
    <row r="13" spans="1:14" ht="25" customHeight="1">
      <c r="A13" s="1">
        <v>12</v>
      </c>
      <c r="B13" s="32" t="s">
        <v>94</v>
      </c>
      <c r="C13" s="10" t="s">
        <v>95</v>
      </c>
      <c r="D13" s="10" t="s">
        <v>96</v>
      </c>
      <c r="E13" s="10" t="s">
        <v>97</v>
      </c>
      <c r="F13" s="10" t="s">
        <v>98</v>
      </c>
      <c r="G13" s="10" t="s">
        <v>99</v>
      </c>
      <c r="H13" s="10"/>
      <c r="I13" s="10"/>
      <c r="J13" s="7" t="s">
        <v>100</v>
      </c>
      <c r="K13" s="14">
        <v>46618</v>
      </c>
      <c r="L13" s="3">
        <v>180</v>
      </c>
    </row>
    <row r="14" spans="1:14" ht="15.75" customHeight="1">
      <c r="A14" s="1">
        <v>13</v>
      </c>
      <c r="B14" s="33" t="s">
        <v>101</v>
      </c>
      <c r="C14" s="10" t="s">
        <v>102</v>
      </c>
      <c r="D14" s="10" t="s">
        <v>103</v>
      </c>
      <c r="E14" s="10" t="s">
        <v>104</v>
      </c>
      <c r="F14" s="10" t="s">
        <v>105</v>
      </c>
      <c r="G14" s="10" t="s">
        <v>106</v>
      </c>
      <c r="J14" s="16" t="s">
        <v>107</v>
      </c>
      <c r="K14" s="19" t="s">
        <v>108</v>
      </c>
      <c r="L14" s="3">
        <v>600</v>
      </c>
    </row>
    <row r="15" spans="1:14" ht="13.5" customHeight="1">
      <c r="A15" s="1">
        <v>14</v>
      </c>
      <c r="B15" s="33" t="s">
        <v>109</v>
      </c>
      <c r="C15" s="10" t="s">
        <v>110</v>
      </c>
      <c r="D15" s="10" t="s">
        <v>111</v>
      </c>
      <c r="E15" s="10" t="s">
        <v>112</v>
      </c>
      <c r="F15" s="10" t="s">
        <v>105</v>
      </c>
      <c r="G15" s="10" t="s">
        <v>113</v>
      </c>
      <c r="J15" s="16" t="s">
        <v>114</v>
      </c>
      <c r="K15" s="13">
        <v>46398</v>
      </c>
      <c r="L15" s="3">
        <v>1200</v>
      </c>
      <c r="M15" s="3">
        <v>1200</v>
      </c>
    </row>
    <row r="16" spans="1:14" ht="15.75" customHeight="1">
      <c r="A16" s="1">
        <v>15</v>
      </c>
      <c r="B16" s="33" t="s">
        <v>115</v>
      </c>
      <c r="C16" s="10" t="s">
        <v>116</v>
      </c>
      <c r="D16" s="10" t="s">
        <v>117</v>
      </c>
      <c r="E16" s="10" t="s">
        <v>82</v>
      </c>
      <c r="F16" s="10" t="s">
        <v>118</v>
      </c>
      <c r="G16" s="10" t="s">
        <v>119</v>
      </c>
      <c r="J16" s="16" t="s">
        <v>120</v>
      </c>
      <c r="K16" s="14">
        <v>46699</v>
      </c>
      <c r="L16" s="20">
        <v>4000</v>
      </c>
    </row>
    <row r="17" spans="1:14" ht="14.25" customHeight="1">
      <c r="A17" s="1">
        <v>16</v>
      </c>
      <c r="B17" s="33" t="s">
        <v>121</v>
      </c>
      <c r="C17" s="10" t="s">
        <v>122</v>
      </c>
      <c r="D17" s="10" t="s">
        <v>82</v>
      </c>
      <c r="E17" s="10" t="s">
        <v>123</v>
      </c>
      <c r="F17" s="10" t="s">
        <v>124</v>
      </c>
      <c r="G17" s="10" t="s">
        <v>125</v>
      </c>
      <c r="H17" s="3">
        <f>H14</f>
        <v>0</v>
      </c>
      <c r="J17" s="8" t="s">
        <v>126</v>
      </c>
      <c r="K17" s="14">
        <v>46751</v>
      </c>
      <c r="L17" s="20">
        <v>4000</v>
      </c>
    </row>
    <row r="18" spans="1:14" ht="16">
      <c r="A18" s="1">
        <v>17</v>
      </c>
      <c r="B18" s="33" t="s">
        <v>127</v>
      </c>
      <c r="C18" s="10" t="s">
        <v>128</v>
      </c>
      <c r="D18" s="10" t="s">
        <v>129</v>
      </c>
      <c r="E18" s="10" t="s">
        <v>130</v>
      </c>
      <c r="F18" s="10" t="s">
        <v>131</v>
      </c>
      <c r="G18" s="10" t="s">
        <v>132</v>
      </c>
      <c r="J18" s="21" t="s">
        <v>133</v>
      </c>
      <c r="K18" s="13">
        <v>46461</v>
      </c>
      <c r="L18" s="3">
        <v>1800</v>
      </c>
      <c r="M18" s="3">
        <v>1800</v>
      </c>
    </row>
    <row r="19" spans="1:14" ht="16">
      <c r="A19" s="1">
        <v>18</v>
      </c>
      <c r="B19" s="33" t="s">
        <v>134</v>
      </c>
      <c r="C19" s="10" t="s">
        <v>135</v>
      </c>
      <c r="D19" s="10" t="s">
        <v>136</v>
      </c>
      <c r="E19" s="10" t="s">
        <v>137</v>
      </c>
      <c r="F19" s="10" t="s">
        <v>138</v>
      </c>
      <c r="G19" s="10" t="s">
        <v>139</v>
      </c>
      <c r="J19" s="8" t="s">
        <v>140</v>
      </c>
      <c r="K19" s="13">
        <v>46447</v>
      </c>
      <c r="L19" s="3">
        <v>1200</v>
      </c>
      <c r="M19" s="3">
        <v>1200</v>
      </c>
    </row>
    <row r="20" spans="1:14">
      <c r="A20" s="1">
        <v>19</v>
      </c>
      <c r="B20" s="30" t="s">
        <v>142</v>
      </c>
      <c r="C20" s="10" t="s">
        <v>143</v>
      </c>
      <c r="D20" s="10" t="s">
        <v>144</v>
      </c>
      <c r="E20" s="10" t="s">
        <v>145</v>
      </c>
      <c r="F20" s="10" t="s">
        <v>146</v>
      </c>
      <c r="G20" s="10" t="s">
        <v>147</v>
      </c>
      <c r="J20" s="8" t="s">
        <v>148</v>
      </c>
      <c r="K20" s="12">
        <v>46324</v>
      </c>
      <c r="L20" s="20">
        <v>4000</v>
      </c>
      <c r="M20" s="3">
        <v>6000</v>
      </c>
    </row>
    <row r="21" spans="1:14">
      <c r="A21" s="1">
        <v>20</v>
      </c>
      <c r="B21" s="32" t="s">
        <v>149</v>
      </c>
      <c r="C21" s="10" t="s">
        <v>150</v>
      </c>
      <c r="D21" s="10" t="s">
        <v>151</v>
      </c>
      <c r="E21" s="10" t="s">
        <v>141</v>
      </c>
      <c r="F21" s="10" t="s">
        <v>152</v>
      </c>
      <c r="G21" s="10" t="s">
        <v>153</v>
      </c>
      <c r="J21" s="16" t="s">
        <v>154</v>
      </c>
      <c r="K21" s="13">
        <v>45898</v>
      </c>
      <c r="L21" s="3">
        <v>1200</v>
      </c>
      <c r="M21" s="3">
        <v>4000</v>
      </c>
      <c r="N21" s="3" t="s">
        <v>79</v>
      </c>
    </row>
    <row r="22" spans="1:14">
      <c r="A22" s="1">
        <v>21</v>
      </c>
      <c r="B22" s="32" t="s">
        <v>155</v>
      </c>
      <c r="C22" s="10" t="s">
        <v>156</v>
      </c>
      <c r="D22" s="10" t="s">
        <v>157</v>
      </c>
      <c r="E22" s="10" t="s">
        <v>158</v>
      </c>
      <c r="F22" s="10" t="s">
        <v>152</v>
      </c>
      <c r="G22" s="10" t="s">
        <v>159</v>
      </c>
      <c r="J22" s="8" t="s">
        <v>160</v>
      </c>
      <c r="K22" s="13">
        <v>46008</v>
      </c>
      <c r="L22" s="3">
        <v>1200</v>
      </c>
      <c r="M22" s="3">
        <v>6000</v>
      </c>
      <c r="N22" s="3" t="s">
        <v>79</v>
      </c>
    </row>
    <row r="23" spans="1:14" ht="16">
      <c r="A23" s="1">
        <v>22</v>
      </c>
      <c r="B23" s="33" t="s">
        <v>161</v>
      </c>
      <c r="C23" s="10" t="s">
        <v>162</v>
      </c>
      <c r="D23" s="10" t="s">
        <v>163</v>
      </c>
      <c r="E23" s="10" t="s">
        <v>164</v>
      </c>
      <c r="F23" s="10" t="s">
        <v>165</v>
      </c>
      <c r="G23" s="10" t="s">
        <v>166</v>
      </c>
      <c r="J23" s="8" t="s">
        <v>167</v>
      </c>
      <c r="K23" s="14">
        <v>46216</v>
      </c>
      <c r="L23" s="3">
        <v>4000</v>
      </c>
      <c r="M23" s="3">
        <v>6000</v>
      </c>
    </row>
    <row r="24" spans="1:14" ht="16">
      <c r="A24" s="1">
        <v>23</v>
      </c>
      <c r="B24" s="30" t="s">
        <v>168</v>
      </c>
      <c r="C24" s="10" t="s">
        <v>169</v>
      </c>
      <c r="D24" s="10" t="s">
        <v>129</v>
      </c>
      <c r="E24" s="10" t="s">
        <v>170</v>
      </c>
      <c r="F24" s="10" t="s">
        <v>171</v>
      </c>
      <c r="G24" s="10" t="s">
        <v>172</v>
      </c>
      <c r="J24" s="21" t="s">
        <v>173</v>
      </c>
      <c r="K24" s="13">
        <v>46097</v>
      </c>
      <c r="L24" s="3">
        <v>4000</v>
      </c>
      <c r="M24" s="3">
        <v>6000</v>
      </c>
      <c r="N24" s="3" t="s">
        <v>79</v>
      </c>
    </row>
    <row r="25" spans="1:14" ht="29" customHeight="1">
      <c r="A25" s="1">
        <v>25</v>
      </c>
      <c r="B25" s="111" t="s">
        <v>174</v>
      </c>
      <c r="C25" s="5" t="s">
        <v>175</v>
      </c>
      <c r="D25" s="5" t="s">
        <v>176</v>
      </c>
      <c r="E25" s="5" t="s">
        <v>177</v>
      </c>
      <c r="F25" s="5" t="s">
        <v>178</v>
      </c>
      <c r="G25" s="5"/>
      <c r="H25" s="5"/>
      <c r="I25" s="5"/>
      <c r="J25" s="5" t="s">
        <v>179</v>
      </c>
    </row>
    <row r="26" spans="1:14" ht="41" customHeight="1">
      <c r="A26" s="15">
        <v>26</v>
      </c>
      <c r="B26" s="111" t="s">
        <v>180</v>
      </c>
      <c r="C26" s="5" t="s">
        <v>181</v>
      </c>
      <c r="D26" s="5" t="s">
        <v>182</v>
      </c>
      <c r="E26" s="5" t="s">
        <v>183</v>
      </c>
      <c r="F26" s="5" t="s">
        <v>184</v>
      </c>
      <c r="J26" s="22" t="s">
        <v>185</v>
      </c>
    </row>
    <row r="27" spans="1:14">
      <c r="C27" s="23"/>
      <c r="D27" s="5"/>
      <c r="E27" s="13"/>
      <c r="J27" s="24"/>
    </row>
    <row r="28" spans="1:14" ht="54" customHeight="1"/>
    <row r="30" spans="1:14">
      <c r="C30" s="3"/>
      <c r="K30" s="13">
        <v>46076</v>
      </c>
      <c r="L30" s="3">
        <v>300</v>
      </c>
    </row>
    <row r="31" spans="1:14">
      <c r="C31" s="23"/>
    </row>
    <row r="32" spans="1:14">
      <c r="C32" s="23"/>
    </row>
  </sheetData>
  <autoFilter ref="B1:J30" xr:uid="{00000000-0009-0000-0000-000000000000}"/>
  <phoneticPr fontId="2" type="noConversion"/>
  <hyperlinks>
    <hyperlink ref="C17" r:id="rId1" display="201611074676" xr:uid="{6AE5AD7C-32C2-CB45-9B0D-D7906C2F2EF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SCI</vt:lpstr>
      <vt:lpstr>发明专利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2026-05-25T15:54:28Z</dcterms:created>
  <dcterms:modified xsi:type="dcterms:W3CDTF">2026-05-25T16:12:06Z</dcterms:modified>
</cp:coreProperties>
</file>